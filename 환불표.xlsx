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최민철\작업\"/>
    </mc:Choice>
  </mc:AlternateContent>
  <xr:revisionPtr revIDLastSave="0" documentId="8_{B30AA440-8FBD-4870-B476-3DC13E9410AE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환불표 ver.1" sheetId="11" r:id="rId1"/>
    <sheet name="Sheet1" sheetId="12" r:id="rId2"/>
    <sheet name="Sheet2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4" i="12"/>
  <c r="B5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N3" i="12"/>
  <c r="N4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I5" i="11"/>
  <c r="E5" i="11"/>
  <c r="C5" i="11"/>
  <c r="K5" i="11"/>
  <c r="F5" i="11"/>
</calcChain>
</file>

<file path=xl/sharedStrings.xml><?xml version="1.0" encoding="utf-8"?>
<sst xmlns="http://schemas.openxmlformats.org/spreadsheetml/2006/main" count="486" uniqueCount="108">
  <si>
    <t>환불표</t>
    <phoneticPr fontId="2" type="noConversion"/>
  </si>
  <si>
    <t>▶ 기간권</t>
    <phoneticPr fontId="2" type="noConversion"/>
  </si>
  <si>
    <t>▶ 시간권</t>
    <phoneticPr fontId="2" type="noConversion"/>
  </si>
  <si>
    <t>종류</t>
    <phoneticPr fontId="2" type="noConversion"/>
  </si>
  <si>
    <t>상품금액</t>
    <phoneticPr fontId="2" type="noConversion"/>
  </si>
  <si>
    <t>사용일수</t>
    <phoneticPr fontId="2" type="noConversion"/>
  </si>
  <si>
    <t>주차</t>
    <phoneticPr fontId="2" type="noConversion"/>
  </si>
  <si>
    <t>환불금액</t>
    <phoneticPr fontId="2" type="noConversion"/>
  </si>
  <si>
    <t>이용시간</t>
    <phoneticPr fontId="2" type="noConversion"/>
  </si>
  <si>
    <t>오픈행사 4주권</t>
  </si>
  <si>
    <t>오픈100시간권</t>
  </si>
  <si>
    <t>앤딩 스터디카페 - 환불규정, 환불 테이블 사용법</t>
    <phoneticPr fontId="2" type="noConversion"/>
  </si>
  <si>
    <t>환불규정</t>
    <phoneticPr fontId="2" type="noConversion"/>
  </si>
  <si>
    <t>환불테이블 사용법</t>
    <phoneticPr fontId="2" type="noConversion"/>
  </si>
  <si>
    <t>아래 내용을 자세히 읽어보시고, 문의를 통해 알려주시면 환불 진행에 도움을 드리겠습니다.</t>
  </si>
  <si>
    <t>[기간권]</t>
    <phoneticPr fontId="2" type="noConversion"/>
  </si>
  <si>
    <t>1.종류 탭에서 기간권 선택</t>
    <phoneticPr fontId="2" type="noConversion"/>
  </si>
  <si>
    <t>2.'사용일수' 탭에 사용일 입력 -&gt; 주차 계산</t>
    <phoneticPr fontId="2" type="noConversion"/>
  </si>
  <si>
    <t>[당일권]</t>
  </si>
  <si>
    <t>3.환불금액 확인</t>
    <phoneticPr fontId="2" type="noConversion"/>
  </si>
  <si>
    <t>- 환불 불가</t>
  </si>
  <si>
    <t>[시간권]</t>
    <phoneticPr fontId="2" type="noConversion"/>
  </si>
  <si>
    <t>1.종류 탭에서 시간권 선택</t>
    <phoneticPr fontId="2" type="noConversion"/>
  </si>
  <si>
    <t>2.'이용시간' 탭에 이용시간 입력</t>
    <phoneticPr fontId="2" type="noConversion"/>
  </si>
  <si>
    <t>[충전권]</t>
  </si>
  <si>
    <t>- 이용권 사용량에 따라 차감됩니다.</t>
  </si>
  <si>
    <t>- 시간당 1500원씩 차감 후 차액 환급</t>
  </si>
  <si>
    <t>- 구매 4주 후에는 환불 불가</t>
  </si>
  <si>
    <t>[스터디룸]</t>
  </si>
  <si>
    <t>- 예약일정 변경만 가능</t>
  </si>
  <si>
    <t>[기간권 / 2주]</t>
  </si>
  <si>
    <t>- 사용 1주차 : 결제금액의 40% 환불</t>
  </si>
  <si>
    <t>- 사용 2주차 : 환불 불가</t>
  </si>
  <si>
    <t>[기간권 / 지정석 4주]</t>
  </si>
  <si>
    <t>- 사용 1주차 : 결제금액의 70% 환불</t>
  </si>
  <si>
    <t>- 사용 2주차 : 결제금액의 40% 환불</t>
  </si>
  <si>
    <t>- 사용 3주차 : 결제금액의 20% 환불</t>
  </si>
  <si>
    <t>- 사용 4주차 : 환불 불가</t>
  </si>
  <si>
    <t>[기간권 / 지정석 12주]</t>
  </si>
  <si>
    <t>- 사용 3주차 : 결제금액의 70% 환불</t>
  </si>
  <si>
    <t>- 사용 6주차 : 결제금액의 40% 환불</t>
  </si>
  <si>
    <t>- 사용 9주차 : 결제금액의 20% 환불</t>
  </si>
  <si>
    <t>- 사용 10주차 이후 : 환불 불가</t>
  </si>
  <si>
    <t>* 사물함 환불 내용도 동일합니다.</t>
  </si>
  <si>
    <t>* 오픈 행사권 내용도 동일합니다.</t>
    <phoneticPr fontId="2" type="noConversion"/>
  </si>
  <si>
    <t>[환불 신청방법]</t>
  </si>
  <si>
    <t>환불신청은 카카오채널 채팅으로 남겨주세요.</t>
  </si>
  <si>
    <t>(환불처리는 평일 오전 9~18시 콜센터 운영시간에 접수 됩니다.)</t>
  </si>
  <si>
    <t>현금결제 - 회원명/ 핸드폰번호/ 입금액(구매이용권)/환불계좌</t>
  </si>
  <si>
    <t>카드결제- 회원명/ 핸드폰번호/ 결제방법(모바일 ,키오스크)/ 결제금액(구매이용권)/</t>
  </si>
  <si>
    <t>결제일시/카드사/카드번호 끝 네자리</t>
  </si>
  <si>
    <t>※ 카드결제후 3일이후 환불요청시 , 정산후 취소건으로 승인취소가 완료되는데까지</t>
  </si>
  <si>
    <t>약 2~4주 소요됩니다. (결제 당일건만 당일취소)</t>
  </si>
  <si>
    <t>기간권 raw data</t>
    <phoneticPr fontId="2" type="noConversion"/>
  </si>
  <si>
    <t>시간권 raw data</t>
    <phoneticPr fontId="2" type="noConversion"/>
  </si>
  <si>
    <t>납부금액</t>
    <phoneticPr fontId="2" type="noConversion"/>
  </si>
  <si>
    <t>100시간권</t>
    <phoneticPr fontId="2" type="noConversion"/>
  </si>
  <si>
    <t>2주권</t>
    <phoneticPr fontId="2" type="noConversion"/>
  </si>
  <si>
    <t>1주일</t>
    <phoneticPr fontId="2" type="noConversion"/>
  </si>
  <si>
    <t>2주일</t>
    <phoneticPr fontId="2" type="noConversion"/>
  </si>
  <si>
    <t>3주일</t>
    <phoneticPr fontId="2" type="noConversion"/>
  </si>
  <si>
    <t>4주일</t>
    <phoneticPr fontId="2" type="noConversion"/>
  </si>
  <si>
    <t>200시간권</t>
    <phoneticPr fontId="2" type="noConversion"/>
  </si>
  <si>
    <t>오픈100시간권</t>
    <phoneticPr fontId="2" type="noConversion"/>
  </si>
  <si>
    <t>4주권</t>
    <phoneticPr fontId="2" type="noConversion"/>
  </si>
  <si>
    <t>고정석 4주권</t>
    <phoneticPr fontId="2" type="noConversion"/>
  </si>
  <si>
    <t>관리고정석 4주권</t>
    <phoneticPr fontId="2" type="noConversion"/>
  </si>
  <si>
    <t>오픈행사 4주권</t>
    <phoneticPr fontId="2" type="noConversion"/>
  </si>
  <si>
    <t>4주권</t>
  </si>
  <si>
    <t>구 분</t>
    <phoneticPr fontId="0" type="noConversion"/>
  </si>
  <si>
    <t>1주차</t>
    <phoneticPr fontId="0" type="noConversion"/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</si>
  <si>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</si>
  <si>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</si>
  <si>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</si>
  <si>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</si>
  <si>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</si>
  <si>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</si>
  <si>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</si>
  <si>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</si>
  <si>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</si>
  <si>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</si>
  <si>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</si>
  <si>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</si>
  <si>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</si>
  <si>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</si>
  <si>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</si>
  <si>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</si>
  <si>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</si>
  <si>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</si>
  <si>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</si>
  <si>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2주권</t>
    <phoneticPr fontId="0" type="noConversion"/>
  </si>
  <si>
    <t>4주권</t>
    <phoneticPr fontId="0" type="noConversion"/>
  </si>
  <si>
    <t>5주권</t>
    <phoneticPr fontId="0" type="noConversion"/>
  </si>
  <si>
    <t>6주권</t>
  </si>
  <si>
    <t>7주권</t>
  </si>
  <si>
    <t>8주권</t>
  </si>
  <si>
    <t>9주권</t>
  </si>
  <si>
    <t>10주권</t>
  </si>
  <si>
    <t>11주권</t>
  </si>
  <si>
    <t>12주권</t>
  </si>
  <si>
    <t>13주권</t>
  </si>
  <si>
    <t>14주권</t>
  </si>
  <si>
    <t>15주권</t>
  </si>
  <si>
    <t>16주권</t>
  </si>
  <si>
    <t>17주권</t>
  </si>
  <si>
    <t>18주권</t>
  </si>
  <si>
    <t>19주권</t>
  </si>
  <si>
    <t>20주권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</si>
</sst>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&quot;Nanum Gothic&quot;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164" fontId="0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164" fontId="0" fillId="0" borderId="0" xfId="1" applyFont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4" fontId="9" fillId="0" borderId="3" xfId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164" fontId="9" fillId="0" borderId="12" xfId="1" applyFont="1" applyBorder="1" applyAlignment="1">
      <alignment horizontal="center" vertical="center"/>
    </xf>
    <xf numFmtId="164" fontId="9" fillId="0" borderId="6" xfId="1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164" fontId="9" fillId="0" borderId="0" xfId="1" applyFont="1" applyBorder="1" applyAlignment="1">
      <alignment horizontal="center" vertical="center"/>
    </xf>
    <xf numFmtId="164" fontId="9" fillId="0" borderId="4" xfId="1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164" fontId="9" fillId="0" borderId="11" xfId="1" applyFont="1" applyBorder="1" applyAlignment="1">
      <alignment horizontal="center" vertical="center"/>
    </xf>
    <xf numFmtId="164" fontId="9" fillId="0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1" applyNumberFormat="1" applyFont="1" applyAlignment="1">
      <alignment horizontal="left" vertical="center"/>
    </xf>
    <xf numFmtId="164" fontId="9" fillId="0" borderId="10" xfId="1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164" fontId="9" fillId="0" borderId="5" xfId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right" vertical="center"/>
    </xf>
    <xf numFmtId="3" fontId="9" fillId="0" borderId="13" xfId="0" applyNumberFormat="1" applyFont="1" applyBorder="1">
      <alignment vertical="center"/>
    </xf>
    <xf numFmtId="3" fontId="9" fillId="0" borderId="3" xfId="0" applyNumberFormat="1" applyFont="1" applyBorder="1" applyAlignment="1">
      <alignment horizontal="center" vertical="center"/>
    </xf>
    <xf numFmtId="164" fontId="9" fillId="0" borderId="7" xfId="1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3" fontId="9" fillId="0" borderId="3" xfId="0" applyNumberFormat="1" applyFont="1" applyBorder="1">
      <alignment vertical="center"/>
    </xf>
    <xf numFmtId="164" fontId="9" fillId="0" borderId="3" xfId="1" applyFont="1" applyFill="1" applyBorder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3" fontId="9" fillId="0" borderId="15" xfId="0" applyNumberFormat="1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3" fontId="9" fillId="0" borderId="10" xfId="0" applyNumberFormat="1" applyFont="1" applyBorder="1">
      <alignment vertical="center"/>
    </xf>
    <xf numFmtId="0" fontId="9" fillId="0" borderId="11" xfId="0" applyFont="1" applyBorder="1">
      <alignment vertical="center"/>
    </xf>
    <xf numFmtId="0" fontId="9" fillId="0" borderId="1" xfId="0" applyFont="1" applyBorder="1">
      <alignment vertical="center"/>
    </xf>
    <xf numFmtId="164" fontId="9" fillId="0" borderId="0" xfId="1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3" borderId="3" xfId="1" applyFont="1" applyFill="1" applyBorder="1" applyAlignment="1">
      <alignment vertical="center"/>
    </xf>
    <xf numFmtId="0" fontId="9" fillId="3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9" fontId="0" fillId="0" borderId="3" xfId="0" applyNumberFormat="1" applyBorder="1">
      <alignment vertical="center"/>
    </xf>
    <xf numFmtId="0" fontId="0" fillId="4" borderId="3" xfId="0" applyFill="1" applyBorder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64" fontId="9" fillId="0" borderId="0" xfId="1" applyFont="1" applyBorder="1" applyAlignment="1">
      <alignment horizontal="left" vertical="center"/>
    </xf>
    <xf numFmtId="164" fontId="9" fillId="0" borderId="4" xfId="1" applyFont="1" applyBorder="1" applyAlignment="1">
      <alignment horizontal="left" vertical="center"/>
    </xf>
    <xf numFmtId="164" fontId="9" fillId="0" borderId="6" xfId="1" applyFont="1" applyBorder="1" applyAlignment="1">
      <alignment horizontal="left" vertical="center"/>
    </xf>
    <xf numFmtId="164" fontId="9" fillId="0" borderId="10" xfId="1" applyFont="1" applyBorder="1" applyAlignment="1">
      <alignment horizontal="left" vertical="center"/>
    </xf>
    <xf numFmtId="164" fontId="9" fillId="0" borderId="13" xfId="1" applyFont="1" applyBorder="1" applyAlignment="1">
      <alignment horizontal="left" vertical="center"/>
    </xf>
    <xf numFmtId="164" fontId="9" fillId="0" borderId="1" xfId="1" applyFont="1" applyBorder="1" applyAlignment="1">
      <alignment horizontal="left" vertical="center"/>
    </xf>
    <xf numFmtId="164" fontId="9" fillId="0" borderId="15" xfId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4" fontId="8" fillId="0" borderId="19" xfId="1" applyFont="1" applyBorder="1" applyAlignment="1">
      <alignment horizontal="center" vertical="center"/>
    </xf>
    <xf numFmtId="164" fontId="8" fillId="0" borderId="20" xfId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5"/>
  <sheetViews>
    <sheetView showGridLines="0" topLeftCell="A30" zoomScale="85" zoomScaleNormal="85" workbookViewId="0">
      <selection activeCell="B53" sqref="B53"/>
    </sheetView>
  </sheetViews>
  <sheetFormatPr defaultRowHeight="16.5"/>
  <cols>
    <col min="1" max="1" width="2.875" style="1" customWidth="1"/>
    <col min="2" max="2" width="20.625" style="13" customWidth="1"/>
    <col min="3" max="6" width="12.75" style="13" customWidth="1"/>
    <col min="7" max="7" width="4.75" style="13" customWidth="1"/>
    <col min="8" max="8" width="20.625" style="14" customWidth="1"/>
    <col min="9" max="11" width="12.75" style="14" customWidth="1"/>
    <col min="12" max="14" width="11.625" style="1" customWidth="1"/>
    <col min="15" max="15" width="8.375" style="1" customWidth="1"/>
    <col min="16" max="16" width="11.625" style="1" customWidth="1"/>
    <col min="17" max="17" width="17.125" style="1" customWidth="1"/>
    <col min="18" max="18" width="9.5" style="1" customWidth="1"/>
    <col min="19" max="19" width="13" customWidth="1"/>
    <col min="20" max="21" width="17.125" customWidth="1"/>
    <col min="22" max="22" width="0.125" customWidth="1"/>
    <col min="23" max="25" width="8.625" customWidth="1"/>
  </cols>
  <sheetData>
    <row r="1" spans="2:34" ht="26.25"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1"/>
    </row>
    <row r="3" spans="2:34">
      <c r="B3" s="29" t="s">
        <v>1</v>
      </c>
      <c r="H3" s="30" t="s">
        <v>2</v>
      </c>
    </row>
    <row r="4" spans="2:34" ht="19.899999999999999" customHeight="1"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H4" s="15" t="s">
        <v>3</v>
      </c>
      <c r="I4" s="15" t="s">
        <v>4</v>
      </c>
      <c r="J4" s="15" t="s">
        <v>8</v>
      </c>
      <c r="K4" s="15" t="s">
        <v>7</v>
      </c>
      <c r="X4" s="3"/>
      <c r="Y4" s="3"/>
      <c r="Z4" s="3"/>
      <c r="AA4" s="62"/>
      <c r="AB4" s="62"/>
      <c r="AE4" s="12"/>
      <c r="AF4" s="12"/>
      <c r="AG4" s="12"/>
      <c r="AH4" s="12"/>
    </row>
    <row r="5" spans="2:34">
      <c r="B5" s="16" t="s">
        <v>9</v>
      </c>
      <c r="C5" s="16">
        <f>VLOOKUP(B5,Sheet1!G5:H9,2,FALSE)</f>
        <v>79000</v>
      </c>
      <c r="D5" s="54">
        <v>22</v>
      </c>
      <c r="E5" s="16">
        <f>ROUNDUP(D5/7,0)</f>
        <v>4</v>
      </c>
      <c r="F5" s="16">
        <f>IFERROR(INDEX(Sheet1!E4:E143,MATCH(1,Sheet1!B4:B143,0)),0)</f>
        <v>0</v>
      </c>
      <c r="H5" s="17" t="s">
        <v>10</v>
      </c>
      <c r="I5" s="18">
        <f>VLOOKUP(H5,Sheet1!S3:T5,2,FALSE)</f>
        <v>69000</v>
      </c>
      <c r="J5" s="55">
        <v>9</v>
      </c>
      <c r="K5" s="16">
        <f>IFERROR(INDEX(Sheet1!Q3:Q232,MATCH(1,Sheet1!N3:N232,0)),0)</f>
        <v>55500</v>
      </c>
      <c r="L5" s="8"/>
      <c r="X5" s="3"/>
      <c r="Y5" s="3"/>
      <c r="Z5" s="4"/>
      <c r="AE5" s="1"/>
      <c r="AF5" s="11"/>
      <c r="AG5" s="11"/>
      <c r="AH5" s="11"/>
    </row>
    <row r="6" spans="2:34">
      <c r="G6" s="14"/>
      <c r="X6" s="4"/>
      <c r="Y6" s="4"/>
      <c r="Z6" s="3"/>
      <c r="AE6" s="63"/>
      <c r="AF6" s="63"/>
      <c r="AG6" s="63"/>
      <c r="AH6" s="63"/>
    </row>
    <row r="7" spans="2:34" ht="19.899999999999999" customHeight="1">
      <c r="B7" s="64" t="s">
        <v>11</v>
      </c>
      <c r="C7" s="65"/>
      <c r="D7" s="65"/>
      <c r="E7" s="65"/>
      <c r="F7" s="65"/>
      <c r="G7" s="65"/>
      <c r="H7" s="65"/>
      <c r="I7" s="65"/>
      <c r="J7" s="65"/>
      <c r="K7" s="66"/>
      <c r="X7" s="4"/>
      <c r="Y7" s="4"/>
      <c r="Z7" s="3"/>
    </row>
    <row r="8" spans="2:34" ht="17.25" thickBot="1">
      <c r="B8" s="74" t="s">
        <v>12</v>
      </c>
      <c r="C8" s="75"/>
      <c r="D8" s="75"/>
      <c r="E8" s="75"/>
      <c r="F8" s="75"/>
      <c r="G8" s="76"/>
      <c r="H8" s="77" t="s">
        <v>13</v>
      </c>
      <c r="I8" s="77"/>
      <c r="J8" s="77"/>
      <c r="K8" s="78"/>
      <c r="X8" s="4"/>
      <c r="Y8" s="4"/>
      <c r="Z8" s="3"/>
    </row>
    <row r="9" spans="2:34" ht="17.25" thickTop="1">
      <c r="B9" s="21" t="s">
        <v>14</v>
      </c>
      <c r="G9" s="52"/>
      <c r="H9" s="22" t="s">
        <v>15</v>
      </c>
      <c r="I9" s="67" t="s">
        <v>16</v>
      </c>
      <c r="J9" s="67"/>
      <c r="K9" s="68"/>
      <c r="X9" s="4"/>
      <c r="Y9" s="4"/>
      <c r="Z9" s="3"/>
    </row>
    <row r="10" spans="2:34">
      <c r="B10" s="21"/>
      <c r="G10" s="52"/>
      <c r="H10" s="22"/>
      <c r="I10" s="67" t="s">
        <v>17</v>
      </c>
      <c r="J10" s="67"/>
      <c r="K10" s="68"/>
      <c r="X10" s="4"/>
      <c r="Y10" s="4"/>
      <c r="Z10" s="3"/>
    </row>
    <row r="11" spans="2:34">
      <c r="B11" s="21" t="s">
        <v>18</v>
      </c>
      <c r="G11" s="52"/>
      <c r="H11" s="22"/>
      <c r="I11" s="51" t="s">
        <v>19</v>
      </c>
      <c r="J11" s="22"/>
      <c r="K11" s="23"/>
      <c r="W11" s="1"/>
      <c r="X11" s="4"/>
      <c r="Y11" s="4"/>
      <c r="Z11" s="3"/>
    </row>
    <row r="12" spans="2:34">
      <c r="B12" s="21" t="s">
        <v>20</v>
      </c>
      <c r="G12" s="52"/>
      <c r="H12" s="38" t="s">
        <v>21</v>
      </c>
      <c r="I12" s="69" t="s">
        <v>22</v>
      </c>
      <c r="J12" s="70"/>
      <c r="K12" s="70"/>
      <c r="W12" s="5"/>
      <c r="X12" s="1"/>
      <c r="Y12" s="7"/>
      <c r="Z12" s="4"/>
    </row>
    <row r="13" spans="2:34">
      <c r="B13" s="21"/>
      <c r="G13" s="52"/>
      <c r="H13" s="33"/>
      <c r="I13" s="68" t="s">
        <v>23</v>
      </c>
      <c r="J13" s="71"/>
      <c r="K13" s="71"/>
      <c r="W13" s="5"/>
      <c r="X13" s="1"/>
      <c r="Y13" s="7"/>
      <c r="Z13" s="4"/>
    </row>
    <row r="14" spans="2:34">
      <c r="B14" s="21" t="s">
        <v>24</v>
      </c>
      <c r="G14" s="52"/>
      <c r="H14" s="42"/>
      <c r="I14" s="72" t="s">
        <v>19</v>
      </c>
      <c r="J14" s="73"/>
      <c r="K14" s="73"/>
      <c r="W14" s="5"/>
      <c r="X14" s="1"/>
      <c r="Y14" s="7"/>
      <c r="Z14" s="4"/>
    </row>
    <row r="15" spans="2:34">
      <c r="B15" s="21" t="s">
        <v>25</v>
      </c>
      <c r="G15" s="52"/>
      <c r="H15" s="22"/>
      <c r="I15" s="22"/>
      <c r="J15" s="22"/>
      <c r="K15" s="23"/>
      <c r="W15" s="5"/>
      <c r="X15" s="1"/>
      <c r="Y15" s="7"/>
      <c r="Z15" s="4"/>
    </row>
    <row r="16" spans="2:34">
      <c r="B16" s="21" t="s">
        <v>26</v>
      </c>
      <c r="G16" s="52"/>
      <c r="H16" s="22"/>
      <c r="I16" s="22"/>
      <c r="J16" s="22"/>
      <c r="K16" s="23"/>
      <c r="W16" s="5"/>
      <c r="X16" s="1"/>
      <c r="Y16" s="7"/>
      <c r="Z16" s="4"/>
    </row>
    <row r="17" spans="2:26">
      <c r="B17" s="21" t="s">
        <v>27</v>
      </c>
      <c r="G17" s="52"/>
      <c r="H17" s="22"/>
      <c r="I17" s="22"/>
      <c r="J17" s="22"/>
      <c r="K17" s="23"/>
      <c r="W17" s="5"/>
      <c r="X17" s="1"/>
      <c r="Y17" s="7"/>
      <c r="Z17" s="4"/>
    </row>
    <row r="18" spans="2:26">
      <c r="B18" s="21"/>
      <c r="G18" s="52"/>
      <c r="H18" s="22"/>
      <c r="I18" s="22"/>
      <c r="J18" s="22"/>
      <c r="K18" s="23"/>
      <c r="W18" s="5"/>
      <c r="X18" s="6"/>
      <c r="Y18" s="7"/>
      <c r="Z18" s="4"/>
    </row>
    <row r="19" spans="2:26">
      <c r="B19" s="21" t="s">
        <v>28</v>
      </c>
      <c r="G19" s="52"/>
      <c r="H19" s="22"/>
      <c r="I19" s="22"/>
      <c r="J19" s="22"/>
      <c r="K19" s="23"/>
      <c r="W19" s="5"/>
      <c r="X19" s="6"/>
      <c r="Y19" s="7"/>
      <c r="Z19" s="4"/>
    </row>
    <row r="20" spans="2:26">
      <c r="B20" s="21" t="s">
        <v>20</v>
      </c>
      <c r="G20" s="52"/>
      <c r="H20" s="22"/>
      <c r="I20" s="22"/>
      <c r="J20" s="22"/>
      <c r="K20" s="23"/>
      <c r="W20" s="5"/>
      <c r="X20" s="6"/>
      <c r="Y20" s="7"/>
      <c r="Z20" s="4"/>
    </row>
    <row r="21" spans="2:26">
      <c r="B21" s="21" t="s">
        <v>29</v>
      </c>
      <c r="G21" s="52"/>
      <c r="H21" s="22"/>
      <c r="I21" s="22"/>
      <c r="J21" s="22"/>
      <c r="K21" s="23"/>
      <c r="W21" s="5"/>
      <c r="X21" s="6"/>
      <c r="Y21" s="7"/>
      <c r="Z21" s="4"/>
    </row>
    <row r="22" spans="2:26">
      <c r="B22" s="21"/>
      <c r="G22" s="52"/>
      <c r="H22" s="22"/>
      <c r="I22" s="22"/>
      <c r="J22" s="22"/>
      <c r="K22" s="23"/>
      <c r="W22" s="5"/>
      <c r="X22" s="6"/>
      <c r="Y22" s="7"/>
      <c r="Z22" s="4"/>
    </row>
    <row r="23" spans="2:26">
      <c r="B23" s="21" t="s">
        <v>30</v>
      </c>
      <c r="G23" s="52"/>
      <c r="H23" s="22"/>
      <c r="I23" s="22"/>
      <c r="J23" s="22"/>
      <c r="K23" s="23"/>
      <c r="W23" s="5"/>
      <c r="X23" s="6"/>
      <c r="Y23" s="7"/>
      <c r="Z23" s="4"/>
    </row>
    <row r="24" spans="2:26">
      <c r="B24" s="21" t="s">
        <v>31</v>
      </c>
      <c r="G24" s="52"/>
      <c r="H24" s="22"/>
      <c r="I24" s="22"/>
      <c r="J24" s="22"/>
      <c r="K24" s="23"/>
      <c r="W24" s="5"/>
      <c r="X24" s="6"/>
      <c r="Y24" s="7"/>
      <c r="Z24" s="4"/>
    </row>
    <row r="25" spans="2:26">
      <c r="B25" s="21" t="s">
        <v>32</v>
      </c>
      <c r="G25" s="52"/>
      <c r="H25" s="22"/>
      <c r="I25" s="22"/>
      <c r="J25" s="22"/>
      <c r="K25" s="23"/>
      <c r="W25" s="5"/>
      <c r="X25" s="6"/>
      <c r="Y25" s="7"/>
      <c r="Z25" s="4"/>
    </row>
    <row r="26" spans="2:26">
      <c r="B26" s="21"/>
      <c r="G26" s="52"/>
      <c r="H26" s="22"/>
      <c r="I26" s="22"/>
      <c r="J26" s="22"/>
      <c r="K26" s="23"/>
      <c r="W26" s="5"/>
      <c r="X26" s="6"/>
      <c r="Y26" s="7"/>
      <c r="Z26" s="4"/>
    </row>
    <row r="27" spans="2:26">
      <c r="B27" s="21" t="s">
        <v>33</v>
      </c>
      <c r="G27" s="52"/>
      <c r="H27" s="22"/>
      <c r="I27" s="22"/>
      <c r="J27" s="22"/>
      <c r="K27" s="23"/>
      <c r="W27" s="5"/>
      <c r="X27" s="6"/>
      <c r="Y27" s="7"/>
      <c r="Z27" s="4"/>
    </row>
    <row r="28" spans="2:26">
      <c r="B28" s="21" t="s">
        <v>34</v>
      </c>
      <c r="G28" s="52"/>
      <c r="H28" s="22"/>
      <c r="I28" s="22"/>
      <c r="J28" s="22"/>
      <c r="K28" s="23"/>
      <c r="W28" s="5"/>
      <c r="X28" s="4"/>
      <c r="Y28" s="4"/>
      <c r="Z28" s="4"/>
    </row>
    <row r="29" spans="2:26">
      <c r="B29" s="21" t="s">
        <v>35</v>
      </c>
      <c r="G29" s="52"/>
      <c r="H29" s="22"/>
      <c r="I29" s="22"/>
      <c r="J29" s="22"/>
      <c r="K29" s="23"/>
      <c r="W29" s="5"/>
      <c r="X29" s="4"/>
      <c r="Y29" s="4"/>
      <c r="Z29" s="4"/>
    </row>
    <row r="30" spans="2:26">
      <c r="B30" s="21" t="s">
        <v>36</v>
      </c>
      <c r="G30" s="52"/>
      <c r="H30" s="22"/>
      <c r="I30" s="22"/>
      <c r="J30" s="22"/>
      <c r="K30" s="23"/>
      <c r="W30" s="5"/>
      <c r="X30" s="4"/>
      <c r="Y30" s="4"/>
      <c r="Z30" s="4"/>
    </row>
    <row r="31" spans="2:26">
      <c r="B31" s="21" t="s">
        <v>37</v>
      </c>
      <c r="G31" s="52"/>
      <c r="H31" s="22"/>
      <c r="I31" s="22"/>
      <c r="J31" s="22"/>
      <c r="K31" s="23"/>
      <c r="X31" s="4"/>
      <c r="Y31" s="4"/>
      <c r="Z31" s="4"/>
    </row>
    <row r="32" spans="2:26">
      <c r="B32" s="21"/>
      <c r="G32" s="52"/>
      <c r="H32" s="22"/>
      <c r="I32" s="22"/>
      <c r="J32" s="22"/>
      <c r="K32" s="23"/>
      <c r="X32" s="4"/>
      <c r="Y32" s="4"/>
      <c r="Z32" s="4"/>
    </row>
    <row r="33" spans="2:34">
      <c r="B33" s="21" t="s">
        <v>38</v>
      </c>
      <c r="G33" s="52"/>
      <c r="H33" s="22"/>
      <c r="I33" s="22"/>
      <c r="J33" s="22"/>
      <c r="K33" s="23"/>
      <c r="X33" s="4"/>
      <c r="Y33" s="4"/>
      <c r="Z33" s="4"/>
    </row>
    <row r="34" spans="2:34">
      <c r="B34" s="21" t="s">
        <v>39</v>
      </c>
      <c r="G34" s="52"/>
      <c r="H34" s="22"/>
      <c r="I34" s="22"/>
      <c r="J34" s="22"/>
      <c r="K34" s="23"/>
      <c r="X34" s="4"/>
      <c r="Y34" s="4"/>
      <c r="Z34" s="4"/>
    </row>
    <row r="35" spans="2:34">
      <c r="B35" s="21" t="s">
        <v>40</v>
      </c>
      <c r="G35" s="52"/>
      <c r="H35" s="22"/>
      <c r="I35" s="22"/>
      <c r="J35" s="22"/>
      <c r="K35" s="23"/>
      <c r="X35" s="4"/>
      <c r="Y35" s="4"/>
      <c r="Z35" s="4"/>
    </row>
    <row r="36" spans="2:34">
      <c r="B36" s="21" t="s">
        <v>41</v>
      </c>
      <c r="G36" s="52"/>
      <c r="H36" s="22"/>
      <c r="I36" s="22"/>
      <c r="J36" s="22"/>
      <c r="K36" s="23"/>
      <c r="X36" s="9"/>
      <c r="Y36" s="4"/>
      <c r="Z36" s="4"/>
    </row>
    <row r="37" spans="2:34">
      <c r="B37" s="21" t="s">
        <v>42</v>
      </c>
      <c r="G37" s="52"/>
      <c r="H37" s="22"/>
      <c r="I37" s="22"/>
      <c r="J37" s="22"/>
      <c r="K37" s="23"/>
      <c r="X37" s="9"/>
      <c r="Y37" s="4"/>
      <c r="Z37" s="4"/>
    </row>
    <row r="38" spans="2:34">
      <c r="B38" s="21"/>
      <c r="G38" s="52"/>
      <c r="H38" s="22"/>
      <c r="I38" s="22"/>
      <c r="J38" s="22"/>
      <c r="K38" s="23"/>
      <c r="X38" s="9"/>
      <c r="Y38" s="4"/>
      <c r="Z38" s="4"/>
    </row>
    <row r="39" spans="2:34">
      <c r="B39" s="21" t="s">
        <v>43</v>
      </c>
      <c r="G39" s="52"/>
      <c r="H39" s="22"/>
      <c r="I39" s="22"/>
      <c r="J39" s="22"/>
      <c r="K39" s="23"/>
      <c r="X39" s="9"/>
      <c r="Y39" s="4"/>
      <c r="Z39" s="4"/>
    </row>
    <row r="40" spans="2:34">
      <c r="B40" s="21" t="s">
        <v>44</v>
      </c>
      <c r="G40" s="52"/>
      <c r="H40" s="22"/>
      <c r="I40" s="22"/>
      <c r="J40" s="22"/>
      <c r="K40" s="23"/>
      <c r="X40" s="9"/>
      <c r="Y40" s="4"/>
      <c r="Z40" s="4"/>
    </row>
    <row r="41" spans="2:34">
      <c r="B41" s="21" t="s">
        <v>45</v>
      </c>
      <c r="G41" s="52"/>
      <c r="H41" s="22"/>
      <c r="I41" s="22"/>
      <c r="J41" s="22"/>
      <c r="K41" s="23"/>
      <c r="X41" s="9"/>
      <c r="Y41" s="4"/>
      <c r="Z41" s="4"/>
    </row>
    <row r="42" spans="2:34">
      <c r="B42" s="21"/>
      <c r="G42" s="52"/>
      <c r="H42" s="22"/>
      <c r="I42" s="22"/>
      <c r="J42" s="22"/>
      <c r="K42" s="23"/>
      <c r="X42" s="9"/>
      <c r="Y42" s="4"/>
      <c r="Z42" s="4"/>
    </row>
    <row r="43" spans="2:34">
      <c r="B43" s="21" t="s">
        <v>46</v>
      </c>
      <c r="G43" s="52"/>
      <c r="H43" s="22"/>
      <c r="I43" s="22"/>
      <c r="J43" s="22"/>
      <c r="K43" s="23"/>
      <c r="X43" s="9"/>
      <c r="Y43" s="4"/>
      <c r="Z43" s="4"/>
    </row>
    <row r="44" spans="2:34">
      <c r="B44" s="21" t="s">
        <v>47</v>
      </c>
      <c r="G44" s="52"/>
      <c r="H44" s="22"/>
      <c r="I44" s="22"/>
      <c r="J44" s="22"/>
      <c r="K44" s="23"/>
      <c r="X44" s="9"/>
      <c r="Y44" s="4"/>
      <c r="Z44" s="4"/>
    </row>
    <row r="45" spans="2:34">
      <c r="B45" s="21" t="s">
        <v>48</v>
      </c>
      <c r="G45" s="52"/>
      <c r="H45" s="22"/>
      <c r="I45" s="22"/>
      <c r="J45" s="22"/>
      <c r="K45" s="23"/>
      <c r="X45" s="9"/>
      <c r="Y45" s="4"/>
      <c r="Z45" s="4"/>
    </row>
    <row r="46" spans="2:34">
      <c r="B46" s="21" t="s">
        <v>49</v>
      </c>
      <c r="G46" s="52"/>
      <c r="H46" s="22"/>
      <c r="I46" s="22"/>
      <c r="J46" s="22"/>
      <c r="K46" s="23"/>
      <c r="X46" s="4"/>
      <c r="Y46" s="4"/>
      <c r="Z46" s="4"/>
      <c r="AA46" s="2"/>
      <c r="AB46" s="2"/>
      <c r="AC46" s="3"/>
      <c r="AD46" s="2"/>
      <c r="AE46" s="2"/>
      <c r="AF46" s="2"/>
      <c r="AG46" s="2"/>
      <c r="AH46" s="2"/>
    </row>
    <row r="47" spans="2:34">
      <c r="B47" s="21" t="s">
        <v>50</v>
      </c>
      <c r="G47" s="52"/>
      <c r="H47" s="22"/>
      <c r="I47" s="22"/>
      <c r="J47" s="22"/>
      <c r="K47" s="23"/>
      <c r="X47" s="4"/>
      <c r="Y47" s="4"/>
      <c r="Z47" s="4"/>
      <c r="AA47" s="2"/>
      <c r="AB47" s="2"/>
      <c r="AC47" s="3"/>
      <c r="AD47" s="2"/>
      <c r="AE47" s="2"/>
      <c r="AF47" s="2"/>
      <c r="AG47" s="2"/>
      <c r="AH47" s="2"/>
    </row>
    <row r="48" spans="2:34">
      <c r="B48" s="21" t="s">
        <v>51</v>
      </c>
      <c r="G48" s="52"/>
      <c r="H48" s="22"/>
      <c r="I48" s="22"/>
      <c r="J48" s="22"/>
      <c r="K48" s="23"/>
      <c r="X48" s="4"/>
      <c r="Y48" s="4"/>
      <c r="Z48" s="4"/>
      <c r="AA48" s="2"/>
      <c r="AB48" s="2"/>
      <c r="AC48" s="3"/>
      <c r="AD48" s="2"/>
      <c r="AE48" s="2"/>
      <c r="AF48" s="2"/>
      <c r="AG48" s="2"/>
      <c r="AH48" s="2"/>
    </row>
    <row r="49" spans="2:34">
      <c r="B49" s="24" t="s">
        <v>52</v>
      </c>
      <c r="C49" s="25"/>
      <c r="D49" s="25"/>
      <c r="E49" s="25"/>
      <c r="F49" s="25"/>
      <c r="G49" s="53"/>
      <c r="H49" s="26"/>
      <c r="I49" s="26"/>
      <c r="J49" s="26"/>
      <c r="K49" s="27"/>
      <c r="X49" s="4"/>
      <c r="Y49" s="4"/>
      <c r="Z49" s="4"/>
      <c r="AA49" s="2"/>
      <c r="AB49" s="2"/>
      <c r="AC49" s="3"/>
      <c r="AD49" s="2"/>
      <c r="AE49" s="2"/>
      <c r="AF49" s="2"/>
      <c r="AG49" s="2"/>
      <c r="AH49" s="2"/>
    </row>
    <row r="50" spans="2:34">
      <c r="H50" s="28"/>
      <c r="I50" s="28"/>
      <c r="J50" s="28"/>
      <c r="K50" s="28"/>
      <c r="L50"/>
      <c r="M50" s="4"/>
      <c r="N50" s="4"/>
      <c r="O50" s="4"/>
      <c r="P50" s="2"/>
      <c r="Q50" s="2"/>
      <c r="R50" s="3"/>
      <c r="S50" s="2"/>
      <c r="T50" s="2"/>
      <c r="U50" s="2"/>
      <c r="V50" s="2"/>
      <c r="W50" s="2"/>
    </row>
    <row r="51" spans="2:34">
      <c r="H51" s="28"/>
      <c r="I51" s="28"/>
      <c r="J51" s="28"/>
      <c r="K51" s="28"/>
      <c r="L51"/>
      <c r="M51" s="4"/>
      <c r="N51" s="4"/>
      <c r="O51" s="4"/>
      <c r="P51" s="2"/>
      <c r="Q51" s="2"/>
      <c r="R51" s="3"/>
      <c r="S51" s="2"/>
      <c r="T51" s="2"/>
      <c r="U51" s="2"/>
      <c r="V51" s="2"/>
      <c r="W51" s="2"/>
    </row>
    <row r="52" spans="2:34">
      <c r="H52" s="28"/>
      <c r="I52" s="28"/>
      <c r="J52" s="28"/>
      <c r="K52" s="28"/>
      <c r="L52"/>
      <c r="M52" s="4"/>
      <c r="N52" s="4"/>
      <c r="O52" s="4"/>
      <c r="P52" s="2"/>
      <c r="Q52" s="2"/>
      <c r="R52" s="3"/>
      <c r="S52" s="2"/>
      <c r="T52" s="2"/>
      <c r="U52" s="2"/>
      <c r="V52" s="2"/>
      <c r="W52" s="2"/>
    </row>
    <row r="53" spans="2:34">
      <c r="H53" s="28"/>
      <c r="I53" s="28"/>
      <c r="J53" s="28"/>
      <c r="K53" s="28"/>
      <c r="L53"/>
      <c r="M53" s="4"/>
      <c r="N53" s="4"/>
      <c r="O53" s="4"/>
      <c r="P53" s="2"/>
      <c r="Q53" s="2"/>
      <c r="R53" s="3"/>
      <c r="S53" s="2"/>
      <c r="T53" s="2"/>
      <c r="U53" s="2"/>
      <c r="V53" s="2"/>
      <c r="W53" s="2"/>
    </row>
    <row r="54" spans="2:34">
      <c r="H54" s="28"/>
      <c r="I54" s="28"/>
      <c r="J54" s="28"/>
      <c r="K54" s="28"/>
      <c r="L54"/>
      <c r="M54" s="4"/>
      <c r="N54" s="4"/>
      <c r="O54" s="4"/>
      <c r="P54" s="2"/>
      <c r="Q54" s="2"/>
      <c r="R54" s="3"/>
      <c r="S54" s="2"/>
      <c r="T54" s="2"/>
      <c r="U54" s="2"/>
      <c r="V54" s="2"/>
      <c r="W54" s="2"/>
    </row>
    <row r="55" spans="2:34">
      <c r="X55" s="4"/>
      <c r="Y55" s="4"/>
      <c r="Z55" s="4"/>
      <c r="AA55" s="2"/>
      <c r="AB55" s="2"/>
      <c r="AC55" s="3"/>
      <c r="AD55" s="2"/>
      <c r="AE55" s="2"/>
      <c r="AF55" s="2"/>
      <c r="AG55" s="2"/>
      <c r="AH55" s="2"/>
    </row>
    <row r="56" spans="2:34">
      <c r="X56" s="4"/>
      <c r="Y56" s="4"/>
      <c r="Z56" s="4"/>
      <c r="AA56" s="2"/>
      <c r="AB56" s="2"/>
      <c r="AC56" s="3"/>
      <c r="AD56" s="2"/>
      <c r="AE56" s="2"/>
      <c r="AF56" s="2"/>
      <c r="AG56" s="2"/>
      <c r="AH56" s="2"/>
    </row>
    <row r="57" spans="2:34">
      <c r="X57" s="4"/>
      <c r="Y57" s="4"/>
      <c r="Z57" s="4"/>
      <c r="AA57" s="2"/>
      <c r="AB57" s="2"/>
      <c r="AC57" s="3"/>
      <c r="AD57" s="2"/>
      <c r="AE57" s="2"/>
      <c r="AF57" s="2"/>
      <c r="AG57" s="2"/>
      <c r="AH57" s="2"/>
    </row>
    <row r="58" spans="2:34">
      <c r="X58" s="4"/>
      <c r="Y58" s="4"/>
      <c r="Z58" s="4"/>
      <c r="AA58" s="2"/>
      <c r="AB58" s="2"/>
      <c r="AC58" s="3"/>
      <c r="AD58" s="2"/>
      <c r="AE58" s="2"/>
      <c r="AF58" s="2"/>
      <c r="AG58" s="2"/>
      <c r="AH58" s="2"/>
    </row>
    <row r="59" spans="2:34">
      <c r="X59" s="4"/>
      <c r="Y59" s="4"/>
      <c r="Z59" s="4"/>
      <c r="AA59" s="2"/>
      <c r="AB59" s="2"/>
      <c r="AC59" s="3"/>
      <c r="AD59" s="2"/>
      <c r="AE59" s="2"/>
      <c r="AF59" s="2"/>
      <c r="AG59" s="2"/>
      <c r="AH59" s="2"/>
    </row>
    <row r="60" spans="2:34">
      <c r="X60" s="4"/>
      <c r="Y60" s="4"/>
      <c r="Z60" s="4"/>
      <c r="AA60" s="2"/>
      <c r="AB60" s="2"/>
      <c r="AC60" s="3"/>
      <c r="AD60" s="2"/>
      <c r="AE60" s="2"/>
      <c r="AF60" s="2"/>
      <c r="AG60" s="2"/>
      <c r="AH60" s="2"/>
    </row>
    <row r="61" spans="2:34">
      <c r="X61" s="4"/>
      <c r="Y61" s="4"/>
      <c r="Z61" s="4"/>
      <c r="AA61" s="2"/>
      <c r="AB61" s="2"/>
      <c r="AC61" s="3"/>
      <c r="AD61" s="2"/>
      <c r="AE61" s="2"/>
      <c r="AF61" s="2"/>
      <c r="AG61" s="2"/>
      <c r="AH61" s="2"/>
    </row>
    <row r="62" spans="2:34">
      <c r="X62" s="4"/>
      <c r="Y62" s="4"/>
      <c r="Z62" s="4"/>
      <c r="AA62" s="2"/>
      <c r="AB62" s="2"/>
      <c r="AC62" s="3"/>
      <c r="AD62" s="2"/>
      <c r="AE62" s="2"/>
      <c r="AF62" s="2"/>
      <c r="AG62" s="2"/>
      <c r="AH62" s="2"/>
    </row>
    <row r="63" spans="2:34">
      <c r="X63" s="4"/>
      <c r="Y63" s="4"/>
      <c r="Z63" s="4"/>
      <c r="AA63" s="2"/>
      <c r="AB63" s="2"/>
      <c r="AC63" s="3"/>
      <c r="AD63" s="2"/>
      <c r="AE63" s="2"/>
      <c r="AF63" s="2"/>
      <c r="AG63" s="2"/>
      <c r="AH63" s="2"/>
    </row>
    <row r="64" spans="2:34">
      <c r="X64" s="4"/>
      <c r="Y64" s="4"/>
      <c r="Z64" s="4"/>
      <c r="AA64" s="2"/>
      <c r="AB64" s="2"/>
      <c r="AC64" s="3"/>
      <c r="AD64" s="2"/>
      <c r="AE64" s="2"/>
      <c r="AF64" s="2"/>
      <c r="AG64" s="2"/>
      <c r="AH64" s="2"/>
    </row>
    <row r="65" spans="24:34">
      <c r="X65" s="4"/>
      <c r="Y65" s="4"/>
      <c r="Z65" s="4"/>
      <c r="AA65" s="2"/>
      <c r="AB65" s="2"/>
      <c r="AC65" s="3"/>
      <c r="AD65" s="2"/>
      <c r="AE65" s="2"/>
      <c r="AF65" s="2"/>
      <c r="AG65" s="2"/>
      <c r="AH65" s="2"/>
    </row>
    <row r="66" spans="24:34">
      <c r="X66" s="4"/>
      <c r="Y66" s="4"/>
      <c r="Z66" s="4"/>
      <c r="AA66" s="2"/>
      <c r="AB66" s="2"/>
      <c r="AC66" s="3"/>
      <c r="AD66" s="2"/>
      <c r="AE66" s="2"/>
      <c r="AF66" s="2"/>
      <c r="AG66" s="2"/>
      <c r="AH66" s="2"/>
    </row>
    <row r="67" spans="24:34">
      <c r="X67" s="4"/>
      <c r="Y67" s="4"/>
      <c r="Z67" s="4"/>
      <c r="AA67" s="2"/>
      <c r="AB67" s="2"/>
      <c r="AC67" s="3"/>
      <c r="AD67" s="2"/>
      <c r="AE67" s="2"/>
      <c r="AF67" s="2"/>
      <c r="AG67" s="2"/>
      <c r="AH67" s="2"/>
    </row>
    <row r="68" spans="24:34">
      <c r="X68" s="4"/>
      <c r="Y68" s="4"/>
      <c r="Z68" s="4"/>
      <c r="AA68" s="2"/>
      <c r="AB68" s="2"/>
      <c r="AC68" s="3"/>
      <c r="AD68" s="2"/>
      <c r="AE68" s="2"/>
      <c r="AF68" s="2"/>
      <c r="AG68" s="2"/>
      <c r="AH68" s="2"/>
    </row>
    <row r="69" spans="24:34">
      <c r="X69" s="4"/>
      <c r="Y69" s="4"/>
      <c r="Z69" s="4"/>
      <c r="AA69" s="2"/>
      <c r="AB69" s="2"/>
      <c r="AC69" s="3"/>
      <c r="AD69" s="2"/>
      <c r="AE69" s="2"/>
      <c r="AF69" s="2"/>
      <c r="AG69" s="2"/>
      <c r="AH69" s="2"/>
    </row>
    <row r="70" spans="24:34">
      <c r="X70" s="4"/>
      <c r="Y70" s="4"/>
      <c r="Z70" s="4"/>
      <c r="AA70" s="2"/>
      <c r="AB70" s="2"/>
      <c r="AC70" s="3"/>
      <c r="AD70" s="2"/>
      <c r="AE70" s="2"/>
      <c r="AF70" s="2"/>
      <c r="AG70" s="2"/>
      <c r="AH70" s="2"/>
    </row>
    <row r="71" spans="24:34">
      <c r="X71" s="4"/>
      <c r="Y71" s="4"/>
      <c r="Z71" s="4"/>
      <c r="AA71" s="2"/>
      <c r="AB71" s="2"/>
      <c r="AC71" s="3"/>
      <c r="AD71" s="2"/>
      <c r="AE71" s="2"/>
      <c r="AF71" s="2"/>
      <c r="AG71" s="2"/>
      <c r="AH71" s="2"/>
    </row>
    <row r="72" spans="24:34">
      <c r="X72" s="4"/>
      <c r="Y72" s="4"/>
      <c r="Z72" s="4"/>
      <c r="AA72" s="2"/>
      <c r="AB72" s="2"/>
      <c r="AC72" s="3"/>
      <c r="AD72" s="2"/>
      <c r="AE72" s="2"/>
      <c r="AF72" s="2"/>
      <c r="AG72" s="2"/>
      <c r="AH72" s="2"/>
    </row>
    <row r="73" spans="24:34">
      <c r="X73" s="4"/>
      <c r="Y73" s="4"/>
      <c r="Z73" s="4"/>
      <c r="AA73" s="2"/>
      <c r="AB73" s="2"/>
      <c r="AC73" s="3"/>
      <c r="AD73" s="2"/>
      <c r="AE73" s="2"/>
      <c r="AF73" s="2"/>
      <c r="AG73" s="2"/>
      <c r="AH73" s="2"/>
    </row>
    <row r="74" spans="24:34">
      <c r="X74" s="4"/>
      <c r="Y74" s="4"/>
      <c r="Z74" s="4"/>
      <c r="AA74" s="2"/>
      <c r="AB74" s="2"/>
      <c r="AC74" s="3"/>
      <c r="AD74" s="2"/>
      <c r="AE74" s="2"/>
      <c r="AF74" s="2"/>
      <c r="AG74" s="2"/>
      <c r="AH74" s="2"/>
    </row>
    <row r="75" spans="24:34">
      <c r="X75" s="4"/>
      <c r="Y75" s="4"/>
      <c r="Z75" s="4"/>
      <c r="AA75" s="2"/>
      <c r="AB75" s="2"/>
      <c r="AC75" s="3"/>
      <c r="AD75" s="2"/>
      <c r="AE75" s="2"/>
      <c r="AF75" s="2"/>
      <c r="AG75" s="2"/>
      <c r="AH75" s="2"/>
    </row>
    <row r="76" spans="24:34">
      <c r="X76" s="4"/>
      <c r="Y76" s="4"/>
      <c r="Z76" s="4"/>
      <c r="AA76" s="2"/>
      <c r="AB76" s="2"/>
      <c r="AC76" s="3"/>
      <c r="AD76" s="2"/>
      <c r="AE76" s="2"/>
      <c r="AF76" s="2"/>
      <c r="AG76" s="2"/>
      <c r="AH76" s="2"/>
    </row>
    <row r="77" spans="24:34">
      <c r="X77" s="4"/>
      <c r="Y77" s="4"/>
      <c r="Z77" s="4"/>
      <c r="AA77" s="2"/>
      <c r="AB77" s="2"/>
      <c r="AC77" s="3"/>
      <c r="AD77" s="2"/>
      <c r="AE77" s="2"/>
      <c r="AF77" s="2"/>
      <c r="AG77" s="2"/>
      <c r="AH77" s="2"/>
    </row>
    <row r="78" spans="24:34">
      <c r="X78" s="4"/>
      <c r="Y78" s="4"/>
      <c r="Z78" s="4"/>
      <c r="AA78" s="2"/>
      <c r="AB78" s="2"/>
      <c r="AC78" s="3"/>
      <c r="AD78" s="2"/>
      <c r="AE78" s="2"/>
      <c r="AF78" s="2"/>
      <c r="AG78" s="2"/>
      <c r="AH78" s="2"/>
    </row>
    <row r="79" spans="24:34">
      <c r="X79" s="4"/>
      <c r="Y79" s="4"/>
      <c r="Z79" s="4"/>
      <c r="AA79" s="2"/>
      <c r="AB79" s="2"/>
      <c r="AC79" s="3"/>
      <c r="AD79" s="2"/>
      <c r="AE79" s="2"/>
      <c r="AF79" s="2"/>
      <c r="AG79" s="2"/>
      <c r="AH79" s="2"/>
    </row>
    <row r="80" spans="24:34">
      <c r="X80" s="4"/>
      <c r="Y80" s="4"/>
      <c r="Z80" s="4"/>
      <c r="AA80" s="2"/>
      <c r="AB80" s="2"/>
      <c r="AC80" s="3"/>
      <c r="AD80" s="2"/>
      <c r="AE80" s="2"/>
      <c r="AF80" s="2"/>
      <c r="AG80" s="2"/>
      <c r="AH80" s="2"/>
    </row>
    <row r="81" spans="24:34">
      <c r="X81" s="4"/>
      <c r="Y81" s="4"/>
      <c r="Z81" s="4"/>
      <c r="AA81" s="4"/>
      <c r="AB81" s="4"/>
      <c r="AC81" s="3"/>
      <c r="AD81" s="2"/>
      <c r="AE81" s="2"/>
      <c r="AF81" s="2"/>
      <c r="AG81" s="2"/>
      <c r="AH81" s="2"/>
    </row>
    <row r="82" spans="24:34">
      <c r="X82" s="4"/>
      <c r="Y82" s="4"/>
      <c r="Z82" s="4"/>
      <c r="AA82" s="4"/>
      <c r="AB82" s="4"/>
      <c r="AC82" s="3"/>
      <c r="AD82" s="2"/>
      <c r="AE82" s="2"/>
      <c r="AF82" s="2"/>
      <c r="AG82" s="2"/>
      <c r="AH82" s="2"/>
    </row>
    <row r="83" spans="24:34">
      <c r="X83" s="4"/>
      <c r="Y83" s="4"/>
      <c r="Z83" s="4"/>
      <c r="AA83" s="4"/>
      <c r="AB83" s="4"/>
      <c r="AC83" s="3"/>
      <c r="AD83" s="2"/>
      <c r="AE83" s="2"/>
      <c r="AF83" s="2"/>
      <c r="AG83" s="2"/>
      <c r="AH83" s="2"/>
    </row>
    <row r="84" spans="24:34">
      <c r="X84" s="4"/>
      <c r="Y84" s="4"/>
      <c r="Z84" s="4"/>
      <c r="AA84" s="4"/>
      <c r="AB84" s="4"/>
      <c r="AC84" s="3"/>
      <c r="AD84" s="2"/>
      <c r="AE84" s="2"/>
      <c r="AF84" s="2"/>
      <c r="AG84" s="2"/>
      <c r="AH84" s="2"/>
    </row>
    <row r="85" spans="24:34">
      <c r="X85" s="4"/>
      <c r="Y85" s="4"/>
      <c r="Z85" s="4"/>
      <c r="AA85" s="4"/>
      <c r="AB85" s="4"/>
      <c r="AC85" s="3"/>
      <c r="AD85" s="2"/>
      <c r="AE85" s="2"/>
      <c r="AF85" s="2"/>
      <c r="AG85" s="2"/>
      <c r="AH85" s="2"/>
    </row>
    <row r="86" spans="24:34">
      <c r="X86" s="4"/>
      <c r="Y86" s="4"/>
      <c r="Z86" s="4"/>
      <c r="AA86" s="4"/>
      <c r="AB86" s="4"/>
      <c r="AC86" s="3"/>
      <c r="AD86" s="2"/>
      <c r="AE86" s="2"/>
      <c r="AF86" s="2"/>
      <c r="AG86" s="2"/>
      <c r="AH86" s="2"/>
    </row>
    <row r="87" spans="24:34">
      <c r="X87" s="4"/>
      <c r="Y87" s="4"/>
      <c r="Z87" s="4"/>
      <c r="AA87" s="4"/>
      <c r="AB87" s="4"/>
      <c r="AC87" s="3"/>
      <c r="AD87" s="2"/>
      <c r="AE87" s="2"/>
      <c r="AF87" s="2"/>
      <c r="AG87" s="2"/>
      <c r="AH87" s="2"/>
    </row>
    <row r="88" spans="24:34">
      <c r="X88" s="4"/>
      <c r="Y88" s="4"/>
      <c r="Z88" s="4"/>
      <c r="AA88" s="4"/>
      <c r="AB88" s="4"/>
      <c r="AC88" s="3"/>
      <c r="AD88" s="2"/>
      <c r="AE88" s="2"/>
      <c r="AF88" s="2"/>
      <c r="AG88" s="2"/>
      <c r="AH88" s="2"/>
    </row>
    <row r="89" spans="24:34">
      <c r="X89" s="4"/>
      <c r="Y89" s="4"/>
      <c r="Z89" s="4"/>
      <c r="AA89" s="4"/>
      <c r="AB89" s="4"/>
      <c r="AC89" s="3"/>
      <c r="AD89" s="2"/>
      <c r="AE89" s="2"/>
      <c r="AF89" s="2"/>
      <c r="AG89" s="2"/>
      <c r="AH89" s="2"/>
    </row>
    <row r="90" spans="24:34">
      <c r="X90" s="4"/>
      <c r="Y90" s="4"/>
      <c r="Z90" s="4"/>
      <c r="AA90" s="4"/>
      <c r="AB90" s="4"/>
      <c r="AC90" s="3"/>
      <c r="AD90" s="2"/>
      <c r="AE90" s="2"/>
      <c r="AF90" s="2"/>
      <c r="AG90" s="2"/>
      <c r="AH90" s="2"/>
    </row>
    <row r="91" spans="24:34">
      <c r="X91" s="4"/>
      <c r="Y91" s="4"/>
      <c r="Z91" s="4"/>
      <c r="AA91" s="4"/>
      <c r="AB91" s="4"/>
      <c r="AC91" s="3"/>
      <c r="AD91" s="2"/>
      <c r="AE91" s="2"/>
      <c r="AF91" s="2"/>
      <c r="AG91" s="2"/>
      <c r="AH91" s="2"/>
    </row>
    <row r="92" spans="24:34">
      <c r="X92" s="4"/>
      <c r="Y92" s="4"/>
      <c r="Z92" s="4"/>
      <c r="AA92" s="4"/>
      <c r="AB92" s="4"/>
      <c r="AC92" s="3"/>
      <c r="AD92" s="2"/>
      <c r="AE92" s="2"/>
      <c r="AF92" s="2"/>
      <c r="AG92" s="2"/>
      <c r="AH92" s="2"/>
    </row>
    <row r="93" spans="24:34">
      <c r="X93" s="4"/>
      <c r="Y93" s="4"/>
      <c r="Z93" s="4"/>
      <c r="AA93" s="4"/>
      <c r="AB93" s="4"/>
      <c r="AC93" s="3"/>
      <c r="AD93" s="2"/>
      <c r="AE93" s="2"/>
      <c r="AF93" s="2"/>
      <c r="AG93" s="2"/>
      <c r="AH93" s="2"/>
    </row>
    <row r="94" spans="24:34">
      <c r="X94" s="4"/>
      <c r="Y94" s="4"/>
      <c r="Z94" s="4"/>
      <c r="AA94" s="4"/>
      <c r="AB94" s="4"/>
      <c r="AC94" s="3"/>
      <c r="AD94" s="2"/>
      <c r="AE94" s="2"/>
      <c r="AF94" s="2"/>
      <c r="AG94" s="2"/>
      <c r="AH94" s="2"/>
    </row>
    <row r="243" spans="13:14">
      <c r="M243" s="11"/>
      <c r="N243" s="10"/>
    </row>
    <row r="244" spans="13:14">
      <c r="M244" s="11"/>
      <c r="N244" s="10"/>
    </row>
    <row r="245" spans="13:14">
      <c r="M245" s="11"/>
      <c r="N245" s="10"/>
    </row>
    <row r="246" spans="13:14">
      <c r="M246" s="11"/>
      <c r="N246" s="10"/>
    </row>
    <row r="247" spans="13:14">
      <c r="M247" s="11"/>
      <c r="N247" s="10"/>
    </row>
    <row r="248" spans="13:14">
      <c r="M248" s="11"/>
      <c r="N248" s="10"/>
    </row>
    <row r="249" spans="13:14">
      <c r="M249" s="11"/>
      <c r="N249" s="10"/>
    </row>
    <row r="250" spans="13:14">
      <c r="M250" s="11"/>
      <c r="N250" s="10"/>
    </row>
    <row r="251" spans="13:14">
      <c r="M251" s="11"/>
      <c r="N251" s="10"/>
    </row>
    <row r="252" spans="13:14">
      <c r="M252" s="11"/>
      <c r="N252" s="10"/>
    </row>
    <row r="253" spans="13:14">
      <c r="M253" s="11"/>
      <c r="N253" s="10"/>
    </row>
    <row r="254" spans="13:14">
      <c r="M254" s="11"/>
      <c r="N254" s="10"/>
    </row>
    <row r="255" spans="13:14">
      <c r="M255" s="11"/>
      <c r="N255" s="10"/>
    </row>
    <row r="256" spans="13:14">
      <c r="M256" s="11"/>
      <c r="N256" s="10"/>
    </row>
    <row r="257" spans="13:14">
      <c r="M257" s="11"/>
      <c r="N257" s="10"/>
    </row>
    <row r="258" spans="13:14">
      <c r="M258" s="11"/>
      <c r="N258" s="10"/>
    </row>
    <row r="259" spans="13:14">
      <c r="M259" s="11"/>
      <c r="N259" s="10"/>
    </row>
    <row r="260" spans="13:14">
      <c r="M260" s="11"/>
      <c r="N260" s="10"/>
    </row>
    <row r="261" spans="13:14">
      <c r="M261" s="11"/>
      <c r="N261" s="10"/>
    </row>
    <row r="262" spans="13:14">
      <c r="M262" s="11"/>
      <c r="N262" s="10"/>
    </row>
    <row r="263" spans="13:14">
      <c r="M263" s="11"/>
      <c r="N263" s="10"/>
    </row>
    <row r="264" spans="13:14">
      <c r="M264" s="11"/>
      <c r="N264" s="10"/>
    </row>
    <row r="265" spans="13:14">
      <c r="M265" s="11"/>
      <c r="N265" s="10"/>
    </row>
    <row r="266" spans="13:14">
      <c r="M266" s="11"/>
      <c r="N266" s="10"/>
    </row>
    <row r="267" spans="13:14">
      <c r="M267" s="11"/>
      <c r="N267" s="10"/>
    </row>
    <row r="268" spans="13:14">
      <c r="M268" s="11"/>
      <c r="N268" s="10"/>
    </row>
    <row r="269" spans="13:14">
      <c r="M269" s="11"/>
      <c r="N269" s="10"/>
    </row>
    <row r="270" spans="13:14">
      <c r="M270" s="11"/>
      <c r="N270" s="10"/>
    </row>
    <row r="271" spans="13:14">
      <c r="M271" s="11"/>
      <c r="N271" s="10"/>
    </row>
    <row r="272" spans="13:14">
      <c r="M272" s="11"/>
      <c r="N272" s="10"/>
    </row>
    <row r="273" spans="13:14">
      <c r="M273" s="11"/>
      <c r="N273" s="10"/>
    </row>
    <row r="274" spans="13:14">
      <c r="M274" s="11"/>
      <c r="N274" s="10"/>
    </row>
    <row r="275" spans="13:14">
      <c r="M275" s="11"/>
      <c r="N275" s="10"/>
    </row>
    <row r="276" spans="13:14">
      <c r="M276" s="11"/>
      <c r="N276" s="10"/>
    </row>
    <row r="277" spans="13:14">
      <c r="M277" s="11"/>
      <c r="N277" s="10"/>
    </row>
    <row r="278" spans="13:14">
      <c r="M278" s="11"/>
      <c r="N278" s="10"/>
    </row>
    <row r="279" spans="13:14">
      <c r="M279" s="11"/>
      <c r="N279" s="10"/>
    </row>
    <row r="280" spans="13:14">
      <c r="M280" s="11"/>
    </row>
    <row r="281" spans="13:14">
      <c r="M281" s="11"/>
    </row>
    <row r="282" spans="13:14">
      <c r="M282" s="11"/>
    </row>
    <row r="283" spans="13:14">
      <c r="M283" s="11"/>
    </row>
    <row r="284" spans="13:14">
      <c r="M284" s="11"/>
    </row>
    <row r="285" spans="13:14">
      <c r="M285" s="11"/>
    </row>
  </sheetData>
  <mergeCells count="11">
    <mergeCell ref="I10:K10"/>
    <mergeCell ref="I12:K12"/>
    <mergeCell ref="I13:K13"/>
    <mergeCell ref="I14:K14"/>
    <mergeCell ref="B8:G8"/>
    <mergeCell ref="H8:K8"/>
    <mergeCell ref="B1:K1"/>
    <mergeCell ref="AA4:AB4"/>
    <mergeCell ref="AE6:AH6"/>
    <mergeCell ref="B7:K7"/>
    <mergeCell ref="I9:K9"/>
  </mergeCells>
  <phoneticPr fontId="2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Sheet1!$P$68:$P$186</xm:f>
          </x14:formula1>
          <xm:sqref>J5</xm:sqref>
        </x14:dataValidation>
        <x14:dataValidation type="list" allowBlank="1" showInputMessage="1" showErrorMessage="1" xr:uid="{00000000-0002-0000-0000-000001000000}">
          <x14:formula1>
            <xm:f>Sheet1!$E$18:$E$64</xm:f>
          </x14:formula1>
          <xm:sqref>AG5</xm:sqref>
        </x14:dataValidation>
        <x14:dataValidation type="list" allowBlank="1" showInputMessage="1" showErrorMessage="1" xr:uid="{00000000-0002-0000-0000-000002000000}">
          <x14:formula1>
            <xm:f>Sheet1!$G$5:$G$9</xm:f>
          </x14:formula1>
          <xm:sqref>B5</xm:sqref>
        </x14:dataValidation>
        <x14:dataValidation type="list" allowBlank="1" showInputMessage="1" showErrorMessage="1" xr:uid="{00000000-0002-0000-0000-000003000000}">
          <x14:formula1>
            <xm:f>Sheet1!$S$3:$S$5</xm:f>
          </x14:formula1>
          <xm:sqref>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94"/>
  <sheetViews>
    <sheetView zoomScale="85" zoomScaleNormal="85" workbookViewId="0">
      <selection activeCell="H23" sqref="H23"/>
    </sheetView>
  </sheetViews>
  <sheetFormatPr defaultRowHeight="16.5"/>
  <cols>
    <col min="1" max="1" width="2.625" customWidth="1"/>
    <col min="3" max="3" width="15.75" customWidth="1"/>
    <col min="4" max="5" width="10.625" customWidth="1"/>
    <col min="7" max="8" width="15.75" customWidth="1"/>
    <col min="9" max="12" width="10.625" customWidth="1"/>
    <col min="15" max="15" width="15.75" customWidth="1"/>
    <col min="16" max="17" width="10.625" customWidth="1"/>
    <col min="19" max="19" width="15.75" customWidth="1"/>
    <col min="20" max="20" width="10.625" customWidth="1"/>
  </cols>
  <sheetData>
    <row r="2" spans="2:20">
      <c r="B2" s="83" t="s">
        <v>53</v>
      </c>
      <c r="C2" s="84"/>
      <c r="D2" s="84"/>
      <c r="E2" s="84"/>
      <c r="F2" s="84"/>
      <c r="G2" s="84"/>
      <c r="H2" s="84"/>
      <c r="I2" s="84"/>
      <c r="J2" s="84"/>
      <c r="K2" s="84"/>
      <c r="L2" s="85"/>
      <c r="M2" s="28"/>
      <c r="N2" s="83" t="s">
        <v>54</v>
      </c>
      <c r="O2" s="84"/>
      <c r="P2" s="84"/>
      <c r="Q2" s="84"/>
      <c r="R2" s="84"/>
      <c r="S2" s="84"/>
      <c r="T2" s="85"/>
    </row>
    <row r="3" spans="2:20">
      <c r="B3" s="16"/>
      <c r="C3" s="31" t="s">
        <v>3</v>
      </c>
      <c r="D3" s="31" t="s">
        <v>5</v>
      </c>
      <c r="E3" s="16" t="s">
        <v>7</v>
      </c>
      <c r="F3" s="32"/>
      <c r="G3" s="80"/>
      <c r="H3" s="79" t="s">
        <v>55</v>
      </c>
      <c r="I3" s="79" t="s">
        <v>7</v>
      </c>
      <c r="J3" s="79"/>
      <c r="K3" s="79"/>
      <c r="L3" s="79"/>
      <c r="M3" s="28"/>
      <c r="N3" s="33">
        <f>--($O$3:$O$232='환불표 ver.1'!$H$5)*($P$3:$P$232='환불표 ver.1'!$J$5)</f>
        <v>0</v>
      </c>
      <c r="O3" s="34" t="s">
        <v>56</v>
      </c>
      <c r="P3" s="35">
        <v>0</v>
      </c>
      <c r="Q3" s="36">
        <v>95000</v>
      </c>
      <c r="R3" s="28"/>
      <c r="S3" s="17" t="s">
        <v>56</v>
      </c>
      <c r="T3" s="37">
        <v>95000</v>
      </c>
    </row>
    <row r="4" spans="2:20">
      <c r="B4" s="33">
        <f>--($C$4:$C$115='환불표 ver.1'!$B$5)*($D$4:$D$115='환불표 ver.1'!$D$5)</f>
        <v>0</v>
      </c>
      <c r="C4" s="38" t="s">
        <v>57</v>
      </c>
      <c r="D4" s="19">
        <v>1</v>
      </c>
      <c r="E4" s="20">
        <v>22000</v>
      </c>
      <c r="F4" s="28"/>
      <c r="G4" s="81"/>
      <c r="H4" s="82"/>
      <c r="I4" s="17" t="s">
        <v>58</v>
      </c>
      <c r="J4" s="17" t="s">
        <v>59</v>
      </c>
      <c r="K4" s="17" t="s">
        <v>60</v>
      </c>
      <c r="L4" s="17" t="s">
        <v>61</v>
      </c>
      <c r="M4" s="28"/>
      <c r="N4" s="33">
        <f>--($O$3:$O$232='환불표 ver.1'!$H$5)*($P$3:$P$232='환불표 ver.1'!$J$5)</f>
        <v>0</v>
      </c>
      <c r="O4" s="34" t="s">
        <v>56</v>
      </c>
      <c r="P4" s="35">
        <v>1</v>
      </c>
      <c r="Q4" s="36">
        <f t="shared" ref="Q4:Q35" si="0">Q3-1500</f>
        <v>93500</v>
      </c>
      <c r="R4" s="28"/>
      <c r="S4" s="17" t="s">
        <v>62</v>
      </c>
      <c r="T4" s="37">
        <v>180000</v>
      </c>
    </row>
    <row r="5" spans="2:20">
      <c r="B5" s="33">
        <f>--($C$4:$C$115='환불표 ver.1'!$B$5)*($D$4:$D$115='환불표 ver.1'!$D$5)</f>
        <v>0</v>
      </c>
      <c r="C5" s="33" t="s">
        <v>57</v>
      </c>
      <c r="D5" s="22">
        <v>2</v>
      </c>
      <c r="E5" s="23">
        <v>22000</v>
      </c>
      <c r="F5" s="28"/>
      <c r="G5" s="17" t="s">
        <v>57</v>
      </c>
      <c r="H5" s="17">
        <v>55000</v>
      </c>
      <c r="I5" s="16">
        <v>22000</v>
      </c>
      <c r="J5" s="16">
        <v>0</v>
      </c>
      <c r="K5" s="16">
        <v>0</v>
      </c>
      <c r="L5" s="16">
        <v>0</v>
      </c>
      <c r="M5" s="28"/>
      <c r="N5" s="33">
        <f>--($O$3:$O$232='환불표 ver.1'!$H$5)*($P$3:$P$232='환불표 ver.1'!$J$5)</f>
        <v>0</v>
      </c>
      <c r="O5" s="34" t="s">
        <v>56</v>
      </c>
      <c r="P5" s="35">
        <v>2</v>
      </c>
      <c r="Q5" s="36">
        <f t="shared" si="0"/>
        <v>92000</v>
      </c>
      <c r="R5" s="28"/>
      <c r="S5" s="17" t="s">
        <v>63</v>
      </c>
      <c r="T5" s="37">
        <v>69000</v>
      </c>
    </row>
    <row r="6" spans="2:20">
      <c r="B6" s="33">
        <f>--($C$4:$C$115='환불표 ver.1'!$B$5)*($D$4:$D$115='환불표 ver.1'!$D$5)</f>
        <v>0</v>
      </c>
      <c r="C6" s="33" t="s">
        <v>57</v>
      </c>
      <c r="D6" s="22">
        <v>3</v>
      </c>
      <c r="E6" s="23">
        <v>22000</v>
      </c>
      <c r="F6" s="28"/>
      <c r="G6" s="17" t="s">
        <v>64</v>
      </c>
      <c r="H6" s="17">
        <v>119000</v>
      </c>
      <c r="I6" s="16">
        <v>83300</v>
      </c>
      <c r="J6" s="16">
        <v>47600</v>
      </c>
      <c r="K6" s="16">
        <v>23800</v>
      </c>
      <c r="L6" s="16">
        <v>0</v>
      </c>
      <c r="M6" s="28"/>
      <c r="N6" s="33">
        <f>--($O$3:$O$232='환불표 ver.1'!$H$5)*($P$3:$P$232='환불표 ver.1'!$J$5)</f>
        <v>0</v>
      </c>
      <c r="O6" s="34" t="s">
        <v>56</v>
      </c>
      <c r="P6" s="35">
        <v>3</v>
      </c>
      <c r="Q6" s="36">
        <f t="shared" si="0"/>
        <v>90500</v>
      </c>
      <c r="R6" s="28"/>
      <c r="S6" s="28"/>
      <c r="T6" s="39"/>
    </row>
    <row r="7" spans="2:20">
      <c r="B7" s="33">
        <f>--($C$4:$C$115='환불표 ver.1'!$B$5)*($D$4:$D$115='환불표 ver.1'!$D$5)</f>
        <v>0</v>
      </c>
      <c r="C7" s="33" t="s">
        <v>57</v>
      </c>
      <c r="D7" s="22">
        <v>4</v>
      </c>
      <c r="E7" s="23">
        <v>22000</v>
      </c>
      <c r="F7" s="28"/>
      <c r="G7" s="17" t="s">
        <v>65</v>
      </c>
      <c r="H7" s="17">
        <v>179000</v>
      </c>
      <c r="I7" s="16">
        <v>125299.99999999999</v>
      </c>
      <c r="J7" s="16">
        <v>71600</v>
      </c>
      <c r="K7" s="16">
        <v>35800</v>
      </c>
      <c r="L7" s="16">
        <v>0</v>
      </c>
      <c r="M7" s="28"/>
      <c r="N7" s="33">
        <f>--($O$3:$O$232='환불표 ver.1'!$H$5)*($P$3:$P$232='환불표 ver.1'!$J$5)</f>
        <v>0</v>
      </c>
      <c r="O7" s="34" t="s">
        <v>56</v>
      </c>
      <c r="P7" s="35">
        <v>4</v>
      </c>
      <c r="Q7" s="36">
        <f t="shared" si="0"/>
        <v>89000</v>
      </c>
      <c r="R7" s="28"/>
      <c r="S7" s="28"/>
      <c r="T7" s="39"/>
    </row>
    <row r="8" spans="2:20">
      <c r="B8" s="33">
        <f>--($C$4:$C$115='환불표 ver.1'!$B$5)*($D$4:$D$115='환불표 ver.1'!$D$5)</f>
        <v>0</v>
      </c>
      <c r="C8" s="33" t="s">
        <v>57</v>
      </c>
      <c r="D8" s="22">
        <v>5</v>
      </c>
      <c r="E8" s="23">
        <v>22000</v>
      </c>
      <c r="F8" s="28"/>
      <c r="G8" s="17" t="s">
        <v>66</v>
      </c>
      <c r="H8" s="17">
        <v>229000</v>
      </c>
      <c r="I8" s="16">
        <v>160300</v>
      </c>
      <c r="J8" s="16">
        <v>91600</v>
      </c>
      <c r="K8" s="16">
        <v>45800</v>
      </c>
      <c r="L8" s="16">
        <v>0</v>
      </c>
      <c r="M8" s="28"/>
      <c r="N8" s="33">
        <f>--($O$3:$O$232='환불표 ver.1'!$H$5)*($P$3:$P$232='환불표 ver.1'!$J$5)</f>
        <v>0</v>
      </c>
      <c r="O8" s="34" t="s">
        <v>56</v>
      </c>
      <c r="P8" s="35">
        <v>5</v>
      </c>
      <c r="Q8" s="36">
        <f t="shared" si="0"/>
        <v>87500</v>
      </c>
      <c r="R8" s="28"/>
      <c r="S8" s="28"/>
      <c r="T8" s="39"/>
    </row>
    <row r="9" spans="2:20">
      <c r="B9" s="33">
        <f>--($C$4:$C$115='환불표 ver.1'!$B$5)*($D$4:$D$115='환불표 ver.1'!$D$5)</f>
        <v>0</v>
      </c>
      <c r="C9" s="33" t="s">
        <v>57</v>
      </c>
      <c r="D9" s="22">
        <v>6</v>
      </c>
      <c r="E9" s="23">
        <v>22000</v>
      </c>
      <c r="F9" s="28"/>
      <c r="G9" s="17" t="s">
        <v>67</v>
      </c>
      <c r="H9" s="17">
        <v>79000</v>
      </c>
      <c r="I9" s="40">
        <v>55300</v>
      </c>
      <c r="J9" s="40">
        <v>31600</v>
      </c>
      <c r="K9" s="40">
        <v>15800</v>
      </c>
      <c r="L9" s="41">
        <v>0</v>
      </c>
      <c r="M9" s="28"/>
      <c r="N9" s="33">
        <f>--($O$3:$O$232='환불표 ver.1'!$H$5)*($P$3:$P$232='환불표 ver.1'!$J$5)</f>
        <v>0</v>
      </c>
      <c r="O9" s="34" t="s">
        <v>56</v>
      </c>
      <c r="P9" s="35">
        <v>6</v>
      </c>
      <c r="Q9" s="36">
        <f t="shared" si="0"/>
        <v>86000</v>
      </c>
      <c r="R9" s="28"/>
      <c r="S9" s="28"/>
      <c r="T9" s="39"/>
    </row>
    <row r="10" spans="2:20">
      <c r="B10" s="33">
        <f>--($C$4:$C$115='환불표 ver.1'!$B$5)*($D$4:$D$115='환불표 ver.1'!$D$5)</f>
        <v>0</v>
      </c>
      <c r="C10" s="33" t="s">
        <v>57</v>
      </c>
      <c r="D10" s="22">
        <v>7</v>
      </c>
      <c r="E10" s="23">
        <v>22000</v>
      </c>
      <c r="F10" s="28"/>
      <c r="G10" s="28"/>
      <c r="H10" s="28"/>
      <c r="I10" s="28"/>
      <c r="J10" s="28"/>
      <c r="K10" s="28"/>
      <c r="L10" s="39"/>
      <c r="M10" s="28"/>
      <c r="N10" s="33">
        <f>--($O$3:$O$232='환불표 ver.1'!$H$5)*($P$3:$P$232='환불표 ver.1'!$J$5)</f>
        <v>0</v>
      </c>
      <c r="O10" s="34" t="s">
        <v>56</v>
      </c>
      <c r="P10" s="35">
        <v>7</v>
      </c>
      <c r="Q10" s="36">
        <f t="shared" si="0"/>
        <v>84500</v>
      </c>
      <c r="R10" s="28"/>
      <c r="S10" s="28"/>
      <c r="T10" s="39"/>
    </row>
    <row r="11" spans="2:20">
      <c r="B11" s="33">
        <f>--($C$4:$C$115='환불표 ver.1'!$B$5)*($D$4:$D$115='환불표 ver.1'!$D$5)</f>
        <v>0</v>
      </c>
      <c r="C11" s="33" t="s">
        <v>57</v>
      </c>
      <c r="D11" s="22">
        <v>8</v>
      </c>
      <c r="E11" s="23">
        <v>0</v>
      </c>
      <c r="F11" s="28"/>
      <c r="G11" s="28"/>
      <c r="H11" s="28"/>
      <c r="I11" s="28"/>
      <c r="J11" s="28"/>
      <c r="K11" s="28"/>
      <c r="L11" s="39"/>
      <c r="M11" s="28"/>
      <c r="N11" s="33">
        <f>--($O$3:$O$232='환불표 ver.1'!$H$5)*($P$3:$P$232='환불표 ver.1'!$J$5)</f>
        <v>0</v>
      </c>
      <c r="O11" s="34" t="s">
        <v>56</v>
      </c>
      <c r="P11" s="35">
        <v>8</v>
      </c>
      <c r="Q11" s="36">
        <f t="shared" si="0"/>
        <v>83000</v>
      </c>
      <c r="R11" s="28"/>
      <c r="S11" s="28"/>
      <c r="T11" s="39"/>
    </row>
    <row r="12" spans="2:20">
      <c r="B12" s="33">
        <f>--($C$4:$C$115='환불표 ver.1'!$B$5)*($D$4:$D$115='환불표 ver.1'!$D$5)</f>
        <v>0</v>
      </c>
      <c r="C12" s="33" t="s">
        <v>57</v>
      </c>
      <c r="D12" s="22">
        <v>9</v>
      </c>
      <c r="E12" s="23">
        <v>0</v>
      </c>
      <c r="F12" s="28"/>
      <c r="G12" s="28"/>
      <c r="H12" s="28"/>
      <c r="I12" s="28"/>
      <c r="J12" s="28"/>
      <c r="K12" s="28"/>
      <c r="L12" s="39"/>
      <c r="M12" s="28"/>
      <c r="N12" s="33">
        <f>--($O$3:$O$232='환불표 ver.1'!$H$5)*($P$3:$P$232='환불표 ver.1'!$J$5)</f>
        <v>0</v>
      </c>
      <c r="O12" s="34" t="s">
        <v>56</v>
      </c>
      <c r="P12" s="35">
        <v>9</v>
      </c>
      <c r="Q12" s="36">
        <f t="shared" si="0"/>
        <v>81500</v>
      </c>
      <c r="R12" s="28"/>
      <c r="S12" s="28"/>
      <c r="T12" s="39"/>
    </row>
    <row r="13" spans="2:20">
      <c r="B13" s="33">
        <f>--($C$4:$C$115='환불표 ver.1'!$B$5)*($D$4:$D$115='환불표 ver.1'!$D$5)</f>
        <v>0</v>
      </c>
      <c r="C13" s="33" t="s">
        <v>57</v>
      </c>
      <c r="D13" s="22">
        <v>10</v>
      </c>
      <c r="E13" s="23">
        <v>0</v>
      </c>
      <c r="F13" s="28"/>
      <c r="G13" s="28"/>
      <c r="H13" s="28"/>
      <c r="I13" s="28"/>
      <c r="J13" s="28"/>
      <c r="K13" s="28"/>
      <c r="L13" s="39"/>
      <c r="M13" s="28"/>
      <c r="N13" s="33">
        <f>--($O$3:$O$232='환불표 ver.1'!$H$5)*($P$3:$P$232='환불표 ver.1'!$J$5)</f>
        <v>0</v>
      </c>
      <c r="O13" s="34" t="s">
        <v>56</v>
      </c>
      <c r="P13" s="35">
        <v>10</v>
      </c>
      <c r="Q13" s="36">
        <f t="shared" si="0"/>
        <v>80000</v>
      </c>
      <c r="R13" s="28"/>
      <c r="S13" s="28"/>
      <c r="T13" s="39"/>
    </row>
    <row r="14" spans="2:20">
      <c r="B14" s="33">
        <f>--($C$4:$C$115='환불표 ver.1'!$B$5)*($D$4:$D$115='환불표 ver.1'!$D$5)</f>
        <v>0</v>
      </c>
      <c r="C14" s="33" t="s">
        <v>57</v>
      </c>
      <c r="D14" s="22">
        <v>11</v>
      </c>
      <c r="E14" s="23">
        <v>0</v>
      </c>
      <c r="F14" s="28"/>
      <c r="G14" s="28"/>
      <c r="H14" s="28"/>
      <c r="I14" s="28"/>
      <c r="J14" s="28"/>
      <c r="K14" s="28"/>
      <c r="L14" s="39"/>
      <c r="M14" s="28"/>
      <c r="N14" s="33">
        <f>--($O$3:$O$232='환불표 ver.1'!$H$5)*($P$3:$P$232='환불표 ver.1'!$J$5)</f>
        <v>0</v>
      </c>
      <c r="O14" s="34" t="s">
        <v>56</v>
      </c>
      <c r="P14" s="35">
        <v>11</v>
      </c>
      <c r="Q14" s="36">
        <f t="shared" si="0"/>
        <v>78500</v>
      </c>
      <c r="R14" s="28"/>
      <c r="S14" s="28"/>
      <c r="T14" s="39"/>
    </row>
    <row r="15" spans="2:20">
      <c r="B15" s="33">
        <f>--($C$4:$C$115='환불표 ver.1'!$B$5)*($D$4:$D$115='환불표 ver.1'!$D$5)</f>
        <v>0</v>
      </c>
      <c r="C15" s="33" t="s">
        <v>57</v>
      </c>
      <c r="D15" s="22">
        <v>12</v>
      </c>
      <c r="E15" s="23">
        <v>0</v>
      </c>
      <c r="F15" s="28"/>
      <c r="G15" s="28"/>
      <c r="H15" s="28"/>
      <c r="I15" s="28"/>
      <c r="J15" s="28"/>
      <c r="K15" s="28"/>
      <c r="L15" s="39"/>
      <c r="M15" s="28"/>
      <c r="N15" s="33">
        <f>--($O$3:$O$232='환불표 ver.1'!$H$5)*($P$3:$P$232='환불표 ver.1'!$J$5)</f>
        <v>0</v>
      </c>
      <c r="O15" s="34" t="s">
        <v>56</v>
      </c>
      <c r="P15" s="35">
        <v>12</v>
      </c>
      <c r="Q15" s="36">
        <f t="shared" si="0"/>
        <v>77000</v>
      </c>
      <c r="R15" s="28"/>
      <c r="S15" s="28"/>
      <c r="T15" s="39"/>
    </row>
    <row r="16" spans="2:20">
      <c r="B16" s="33">
        <f>--($C$4:$C$115='환불표 ver.1'!$B$5)*($D$4:$D$115='환불표 ver.1'!$D$5)</f>
        <v>0</v>
      </c>
      <c r="C16" s="33" t="s">
        <v>57</v>
      </c>
      <c r="D16" s="22">
        <v>13</v>
      </c>
      <c r="E16" s="23">
        <v>0</v>
      </c>
      <c r="F16" s="28"/>
      <c r="G16" s="28"/>
      <c r="H16" s="28"/>
      <c r="I16" s="28"/>
      <c r="J16" s="28"/>
      <c r="K16" s="28"/>
      <c r="L16" s="39"/>
      <c r="M16" s="28"/>
      <c r="N16" s="33">
        <f>--($O$3:$O$232='환불표 ver.1'!$H$5)*($P$3:$P$232='환불표 ver.1'!$J$5)</f>
        <v>0</v>
      </c>
      <c r="O16" s="34" t="s">
        <v>56</v>
      </c>
      <c r="P16" s="35">
        <v>13</v>
      </c>
      <c r="Q16" s="36">
        <f t="shared" si="0"/>
        <v>75500</v>
      </c>
      <c r="R16" s="28"/>
      <c r="S16" s="28"/>
      <c r="T16" s="39"/>
    </row>
    <row r="17" spans="2:20">
      <c r="B17" s="33">
        <f>--($C$4:$C$115='환불표 ver.1'!$B$5)*($D$4:$D$115='환불표 ver.1'!$D$5)</f>
        <v>0</v>
      </c>
      <c r="C17" s="33" t="s">
        <v>57</v>
      </c>
      <c r="D17" s="22">
        <v>14</v>
      </c>
      <c r="E17" s="23">
        <v>0</v>
      </c>
      <c r="F17" s="28"/>
      <c r="G17" s="28"/>
      <c r="H17" s="28"/>
      <c r="I17" s="28"/>
      <c r="J17" s="28"/>
      <c r="K17" s="28"/>
      <c r="L17" s="39"/>
      <c r="M17" s="28"/>
      <c r="N17" s="33">
        <f>--($O$3:$O$232='환불표 ver.1'!$H$5)*($P$3:$P$232='환불표 ver.1'!$J$5)</f>
        <v>0</v>
      </c>
      <c r="O17" s="34" t="s">
        <v>56</v>
      </c>
      <c r="P17" s="35">
        <v>14</v>
      </c>
      <c r="Q17" s="36">
        <f t="shared" si="0"/>
        <v>74000</v>
      </c>
      <c r="R17" s="28"/>
      <c r="S17" s="28"/>
      <c r="T17" s="39"/>
    </row>
    <row r="18" spans="2:20">
      <c r="B18" s="33">
        <f>--($C$4:$C$115='환불표 ver.1'!$B$5)*($D$4:$D$115='환불표 ver.1'!$D$5)</f>
        <v>0</v>
      </c>
      <c r="C18" s="33" t="s">
        <v>57</v>
      </c>
      <c r="D18" s="22">
        <v>15</v>
      </c>
      <c r="E18" s="23">
        <v>0</v>
      </c>
      <c r="F18" s="28"/>
      <c r="G18" s="28"/>
      <c r="H18" s="28"/>
      <c r="I18" s="28"/>
      <c r="J18" s="28"/>
      <c r="K18" s="28"/>
      <c r="L18" s="39"/>
      <c r="M18" s="28"/>
      <c r="N18" s="33">
        <f>--($O$3:$O$232='환불표 ver.1'!$H$5)*($P$3:$P$232='환불표 ver.1'!$J$5)</f>
        <v>0</v>
      </c>
      <c r="O18" s="34" t="s">
        <v>56</v>
      </c>
      <c r="P18" s="35">
        <v>15</v>
      </c>
      <c r="Q18" s="36">
        <f t="shared" si="0"/>
        <v>72500</v>
      </c>
      <c r="R18" s="28"/>
      <c r="S18" s="28"/>
      <c r="T18" s="39"/>
    </row>
    <row r="19" spans="2:20">
      <c r="B19" s="33">
        <f>--($C$4:$C$115='환불표 ver.1'!$B$5)*($D$4:$D$115='환불표 ver.1'!$D$5)</f>
        <v>0</v>
      </c>
      <c r="C19" s="33" t="s">
        <v>57</v>
      </c>
      <c r="D19" s="22">
        <v>16</v>
      </c>
      <c r="E19" s="23">
        <v>0</v>
      </c>
      <c r="F19" s="28"/>
      <c r="G19" s="28"/>
      <c r="H19" s="28"/>
      <c r="I19" s="28"/>
      <c r="J19" s="28"/>
      <c r="K19" s="28"/>
      <c r="L19" s="39"/>
      <c r="M19" s="28"/>
      <c r="N19" s="33">
        <f>--($O$3:$O$232='환불표 ver.1'!$H$5)*($P$3:$P$232='환불표 ver.1'!$J$5)</f>
        <v>0</v>
      </c>
      <c r="O19" s="34" t="s">
        <v>56</v>
      </c>
      <c r="P19" s="35">
        <v>16</v>
      </c>
      <c r="Q19" s="36">
        <f t="shared" si="0"/>
        <v>71000</v>
      </c>
      <c r="R19" s="28"/>
      <c r="S19" s="28"/>
      <c r="T19" s="39"/>
    </row>
    <row r="20" spans="2:20">
      <c r="B20" s="33">
        <f>--($C$4:$C$115='환불표 ver.1'!$B$5)*($D$4:$D$115='환불표 ver.1'!$D$5)</f>
        <v>0</v>
      </c>
      <c r="C20" s="33" t="s">
        <v>57</v>
      </c>
      <c r="D20" s="22">
        <v>17</v>
      </c>
      <c r="E20" s="23">
        <v>0</v>
      </c>
      <c r="F20" s="28"/>
      <c r="G20" s="28"/>
      <c r="H20" s="28"/>
      <c r="I20" s="28"/>
      <c r="J20" s="28"/>
      <c r="K20" s="28"/>
      <c r="L20" s="39"/>
      <c r="M20" s="28"/>
      <c r="N20" s="33">
        <f>--($O$3:$O$232='환불표 ver.1'!$H$5)*($P$3:$P$232='환불표 ver.1'!$J$5)</f>
        <v>0</v>
      </c>
      <c r="O20" s="34" t="s">
        <v>56</v>
      </c>
      <c r="P20" s="35">
        <v>17</v>
      </c>
      <c r="Q20" s="36">
        <f t="shared" si="0"/>
        <v>69500</v>
      </c>
      <c r="R20" s="28"/>
      <c r="S20" s="28"/>
      <c r="T20" s="39"/>
    </row>
    <row r="21" spans="2:20">
      <c r="B21" s="33">
        <f>--($C$4:$C$115='환불표 ver.1'!$B$5)*($D$4:$D$115='환불표 ver.1'!$D$5)</f>
        <v>0</v>
      </c>
      <c r="C21" s="33" t="s">
        <v>57</v>
      </c>
      <c r="D21" s="22">
        <v>18</v>
      </c>
      <c r="E21" s="23">
        <v>0</v>
      </c>
      <c r="F21" s="28"/>
      <c r="G21" s="28"/>
      <c r="H21" s="28"/>
      <c r="I21" s="28"/>
      <c r="J21" s="28"/>
      <c r="K21" s="28"/>
      <c r="L21" s="39"/>
      <c r="M21" s="28"/>
      <c r="N21" s="33">
        <f>--($O$3:$O$232='환불표 ver.1'!$H$5)*($P$3:$P$232='환불표 ver.1'!$J$5)</f>
        <v>0</v>
      </c>
      <c r="O21" s="34" t="s">
        <v>56</v>
      </c>
      <c r="P21" s="35">
        <v>18</v>
      </c>
      <c r="Q21" s="36">
        <f t="shared" si="0"/>
        <v>68000</v>
      </c>
      <c r="R21" s="28"/>
      <c r="S21" s="28"/>
      <c r="T21" s="39"/>
    </row>
    <row r="22" spans="2:20">
      <c r="B22" s="33">
        <f>--($C$4:$C$115='환불표 ver.1'!$B$5)*($D$4:$D$115='환불표 ver.1'!$D$5)</f>
        <v>0</v>
      </c>
      <c r="C22" s="33" t="s">
        <v>57</v>
      </c>
      <c r="D22" s="22">
        <v>19</v>
      </c>
      <c r="E22" s="23">
        <v>0</v>
      </c>
      <c r="F22" s="28"/>
      <c r="G22" s="28"/>
      <c r="H22" s="28"/>
      <c r="I22" s="28"/>
      <c r="J22" s="28"/>
      <c r="K22" s="28"/>
      <c r="L22" s="39"/>
      <c r="M22" s="28"/>
      <c r="N22" s="33">
        <f>--($O$3:$O$232='환불표 ver.1'!$H$5)*($P$3:$P$232='환불표 ver.1'!$J$5)</f>
        <v>0</v>
      </c>
      <c r="O22" s="34" t="s">
        <v>56</v>
      </c>
      <c r="P22" s="35">
        <v>19</v>
      </c>
      <c r="Q22" s="36">
        <f t="shared" si="0"/>
        <v>66500</v>
      </c>
      <c r="R22" s="28"/>
      <c r="S22" s="28"/>
      <c r="T22" s="39"/>
    </row>
    <row r="23" spans="2:20">
      <c r="B23" s="33">
        <f>--($C$4:$C$115='환불표 ver.1'!$B$5)*($D$4:$D$115='환불표 ver.1'!$D$5)</f>
        <v>0</v>
      </c>
      <c r="C23" s="33" t="s">
        <v>57</v>
      </c>
      <c r="D23" s="22">
        <v>20</v>
      </c>
      <c r="E23" s="23">
        <v>0</v>
      </c>
      <c r="F23" s="28"/>
      <c r="G23" s="28"/>
      <c r="H23" s="28"/>
      <c r="I23" s="28"/>
      <c r="J23" s="28"/>
      <c r="K23" s="28"/>
      <c r="L23" s="39"/>
      <c r="M23" s="28"/>
      <c r="N23" s="33">
        <f>--($O$3:$O$232='환불표 ver.1'!$H$5)*($P$3:$P$232='환불표 ver.1'!$J$5)</f>
        <v>0</v>
      </c>
      <c r="O23" s="34" t="s">
        <v>56</v>
      </c>
      <c r="P23" s="35">
        <v>20</v>
      </c>
      <c r="Q23" s="36">
        <f t="shared" si="0"/>
        <v>65000</v>
      </c>
      <c r="R23" s="28"/>
      <c r="S23" s="28"/>
      <c r="T23" s="39"/>
    </row>
    <row r="24" spans="2:20">
      <c r="B24" s="33">
        <f>--($C$4:$C$115='환불표 ver.1'!$B$5)*($D$4:$D$115='환불표 ver.1'!$D$5)</f>
        <v>0</v>
      </c>
      <c r="C24" s="33" t="s">
        <v>57</v>
      </c>
      <c r="D24" s="22">
        <v>21</v>
      </c>
      <c r="E24" s="23">
        <v>0</v>
      </c>
      <c r="F24" s="28"/>
      <c r="G24" s="28"/>
      <c r="H24" s="28"/>
      <c r="I24" s="28"/>
      <c r="J24" s="28"/>
      <c r="K24" s="28"/>
      <c r="L24" s="39"/>
      <c r="M24" s="28"/>
      <c r="N24" s="33">
        <f>--($O$3:$O$232='환불표 ver.1'!$H$5)*($P$3:$P$232='환불표 ver.1'!$J$5)</f>
        <v>0</v>
      </c>
      <c r="O24" s="34" t="s">
        <v>56</v>
      </c>
      <c r="P24" s="35">
        <v>21</v>
      </c>
      <c r="Q24" s="36">
        <f t="shared" si="0"/>
        <v>63500</v>
      </c>
      <c r="R24" s="28"/>
      <c r="S24" s="28"/>
      <c r="T24" s="39"/>
    </row>
    <row r="25" spans="2:20">
      <c r="B25" s="33">
        <f>--($C$4:$C$115='환불표 ver.1'!$B$5)*($D$4:$D$115='환불표 ver.1'!$D$5)</f>
        <v>0</v>
      </c>
      <c r="C25" s="33" t="s">
        <v>57</v>
      </c>
      <c r="D25" s="22">
        <v>22</v>
      </c>
      <c r="E25" s="23">
        <v>0</v>
      </c>
      <c r="F25" s="28"/>
      <c r="G25" s="28"/>
      <c r="H25" s="28"/>
      <c r="I25" s="28"/>
      <c r="J25" s="28"/>
      <c r="K25" s="28"/>
      <c r="L25" s="39"/>
      <c r="M25" s="28"/>
      <c r="N25" s="33">
        <f>--($O$3:$O$232='환불표 ver.1'!$H$5)*($P$3:$P$232='환불표 ver.1'!$J$5)</f>
        <v>0</v>
      </c>
      <c r="O25" s="34" t="s">
        <v>56</v>
      </c>
      <c r="P25" s="35">
        <v>22</v>
      </c>
      <c r="Q25" s="36">
        <f t="shared" si="0"/>
        <v>62000</v>
      </c>
      <c r="R25" s="28"/>
      <c r="S25" s="28"/>
      <c r="T25" s="39"/>
    </row>
    <row r="26" spans="2:20">
      <c r="B26" s="33">
        <f>--($C$4:$C$115='환불표 ver.1'!$B$5)*($D$4:$D$115='환불표 ver.1'!$D$5)</f>
        <v>0</v>
      </c>
      <c r="C26" s="33" t="s">
        <v>57</v>
      </c>
      <c r="D26" s="22">
        <v>23</v>
      </c>
      <c r="E26" s="23">
        <v>0</v>
      </c>
      <c r="F26" s="28"/>
      <c r="G26" s="28"/>
      <c r="H26" s="28"/>
      <c r="I26" s="28"/>
      <c r="J26" s="28"/>
      <c r="K26" s="28"/>
      <c r="L26" s="39"/>
      <c r="M26" s="28"/>
      <c r="N26" s="33">
        <f>--($O$3:$O$232='환불표 ver.1'!$H$5)*($P$3:$P$232='환불표 ver.1'!$J$5)</f>
        <v>0</v>
      </c>
      <c r="O26" s="34" t="s">
        <v>56</v>
      </c>
      <c r="P26" s="35">
        <v>23</v>
      </c>
      <c r="Q26" s="36">
        <f t="shared" si="0"/>
        <v>60500</v>
      </c>
      <c r="R26" s="28"/>
      <c r="S26" s="28"/>
      <c r="T26" s="39"/>
    </row>
    <row r="27" spans="2:20">
      <c r="B27" s="33">
        <f>--($C$4:$C$115='환불표 ver.1'!$B$5)*($D$4:$D$115='환불표 ver.1'!$D$5)</f>
        <v>0</v>
      </c>
      <c r="C27" s="33" t="s">
        <v>57</v>
      </c>
      <c r="D27" s="22">
        <v>24</v>
      </c>
      <c r="E27" s="23">
        <v>0</v>
      </c>
      <c r="F27" s="28"/>
      <c r="G27" s="28"/>
      <c r="H27" s="28"/>
      <c r="I27" s="28"/>
      <c r="J27" s="28"/>
      <c r="K27" s="28"/>
      <c r="L27" s="39"/>
      <c r="M27" s="28"/>
      <c r="N27" s="33">
        <f>--($O$3:$O$232='환불표 ver.1'!$H$5)*($P$3:$P$232='환불표 ver.1'!$J$5)</f>
        <v>0</v>
      </c>
      <c r="O27" s="34" t="s">
        <v>56</v>
      </c>
      <c r="P27" s="35">
        <v>24</v>
      </c>
      <c r="Q27" s="36">
        <f t="shared" si="0"/>
        <v>59000</v>
      </c>
      <c r="R27" s="28"/>
      <c r="S27" s="28"/>
      <c r="T27" s="39"/>
    </row>
    <row r="28" spans="2:20">
      <c r="B28" s="33">
        <f>--($C$4:$C$115='환불표 ver.1'!$B$5)*($D$4:$D$115='환불표 ver.1'!$D$5)</f>
        <v>0</v>
      </c>
      <c r="C28" s="33" t="s">
        <v>57</v>
      </c>
      <c r="D28" s="22">
        <v>25</v>
      </c>
      <c r="E28" s="23">
        <v>0</v>
      </c>
      <c r="F28" s="28"/>
      <c r="G28" s="28"/>
      <c r="H28" s="28"/>
      <c r="I28" s="28"/>
      <c r="J28" s="28"/>
      <c r="K28" s="28"/>
      <c r="L28" s="39"/>
      <c r="M28" s="28"/>
      <c r="N28" s="33">
        <f>--($O$3:$O$232='환불표 ver.1'!$H$5)*($P$3:$P$232='환불표 ver.1'!$J$5)</f>
        <v>0</v>
      </c>
      <c r="O28" s="34" t="s">
        <v>56</v>
      </c>
      <c r="P28" s="35">
        <v>25</v>
      </c>
      <c r="Q28" s="36">
        <f t="shared" si="0"/>
        <v>57500</v>
      </c>
      <c r="R28" s="28"/>
      <c r="S28" s="28"/>
      <c r="T28" s="39"/>
    </row>
    <row r="29" spans="2:20">
      <c r="B29" s="33">
        <f>--($C$4:$C$115='환불표 ver.1'!$B$5)*($D$4:$D$115='환불표 ver.1'!$D$5)</f>
        <v>0</v>
      </c>
      <c r="C29" s="33" t="s">
        <v>57</v>
      </c>
      <c r="D29" s="22">
        <v>26</v>
      </c>
      <c r="E29" s="23">
        <v>0</v>
      </c>
      <c r="F29" s="28"/>
      <c r="G29" s="28"/>
      <c r="H29" s="28"/>
      <c r="I29" s="28"/>
      <c r="J29" s="28"/>
      <c r="K29" s="28"/>
      <c r="L29" s="39"/>
      <c r="M29" s="28"/>
      <c r="N29" s="33">
        <f>--($O$3:$O$232='환불표 ver.1'!$H$5)*($P$3:$P$232='환불표 ver.1'!$J$5)</f>
        <v>0</v>
      </c>
      <c r="O29" s="34" t="s">
        <v>56</v>
      </c>
      <c r="P29" s="35">
        <v>26</v>
      </c>
      <c r="Q29" s="36">
        <f t="shared" si="0"/>
        <v>56000</v>
      </c>
      <c r="R29" s="28"/>
      <c r="S29" s="28"/>
      <c r="T29" s="39"/>
    </row>
    <row r="30" spans="2:20">
      <c r="B30" s="33">
        <f>--($C$4:$C$115='환불표 ver.1'!$B$5)*($D$4:$D$115='환불표 ver.1'!$D$5)</f>
        <v>0</v>
      </c>
      <c r="C30" s="33" t="s">
        <v>57</v>
      </c>
      <c r="D30" s="22">
        <v>27</v>
      </c>
      <c r="E30" s="23">
        <v>0</v>
      </c>
      <c r="F30" s="28"/>
      <c r="G30" s="28"/>
      <c r="H30" s="28"/>
      <c r="I30" s="28"/>
      <c r="J30" s="28"/>
      <c r="K30" s="28"/>
      <c r="L30" s="39"/>
      <c r="M30" s="28"/>
      <c r="N30" s="33">
        <f>--($O$3:$O$232='환불표 ver.1'!$H$5)*($P$3:$P$232='환불표 ver.1'!$J$5)</f>
        <v>0</v>
      </c>
      <c r="O30" s="34" t="s">
        <v>56</v>
      </c>
      <c r="P30" s="35">
        <v>27</v>
      </c>
      <c r="Q30" s="36">
        <f t="shared" si="0"/>
        <v>54500</v>
      </c>
      <c r="R30" s="28"/>
      <c r="S30" s="28"/>
      <c r="T30" s="39"/>
    </row>
    <row r="31" spans="2:20">
      <c r="B31" s="33">
        <f>--($C$4:$C$115='환불표 ver.1'!$B$5)*($D$4:$D$115='환불표 ver.1'!$D$5)</f>
        <v>0</v>
      </c>
      <c r="C31" s="33" t="s">
        <v>57</v>
      </c>
      <c r="D31" s="22">
        <v>28</v>
      </c>
      <c r="E31" s="23">
        <v>0</v>
      </c>
      <c r="F31" s="28"/>
      <c r="G31" s="28"/>
      <c r="H31" s="28"/>
      <c r="I31" s="28"/>
      <c r="J31" s="28"/>
      <c r="K31" s="28"/>
      <c r="L31" s="39"/>
      <c r="M31" s="28"/>
      <c r="N31" s="33">
        <f>--($O$3:$O$232='환불표 ver.1'!$H$5)*($P$3:$P$232='환불표 ver.1'!$J$5)</f>
        <v>0</v>
      </c>
      <c r="O31" s="34" t="s">
        <v>56</v>
      </c>
      <c r="P31" s="35">
        <v>28</v>
      </c>
      <c r="Q31" s="36">
        <f t="shared" si="0"/>
        <v>53000</v>
      </c>
      <c r="R31" s="28"/>
      <c r="S31" s="28"/>
      <c r="T31" s="39"/>
    </row>
    <row r="32" spans="2:20">
      <c r="B32" s="33">
        <f>--($C$4:$C$115='환불표 ver.1'!$B$5)*($D$4:$D$115='환불표 ver.1'!$D$5)</f>
        <v>0</v>
      </c>
      <c r="C32" s="38" t="s">
        <v>64</v>
      </c>
      <c r="D32" s="19">
        <v>1</v>
      </c>
      <c r="E32" s="20">
        <v>76300</v>
      </c>
      <c r="F32" s="28"/>
      <c r="G32" s="28"/>
      <c r="H32" s="28"/>
      <c r="I32" s="28"/>
      <c r="J32" s="28"/>
      <c r="K32" s="28"/>
      <c r="L32" s="39"/>
      <c r="M32" s="28"/>
      <c r="N32" s="33">
        <f>--($O$3:$O$232='환불표 ver.1'!$H$5)*($P$3:$P$232='환불표 ver.1'!$J$5)</f>
        <v>0</v>
      </c>
      <c r="O32" s="34" t="s">
        <v>56</v>
      </c>
      <c r="P32" s="35">
        <v>29</v>
      </c>
      <c r="Q32" s="36">
        <f t="shared" si="0"/>
        <v>51500</v>
      </c>
      <c r="R32" s="28"/>
      <c r="S32" s="28"/>
      <c r="T32" s="39"/>
    </row>
    <row r="33" spans="2:20">
      <c r="B33" s="33">
        <f>--($C$4:$C$115='환불표 ver.1'!$B$5)*($D$4:$D$115='환불표 ver.1'!$D$5)</f>
        <v>0</v>
      </c>
      <c r="C33" s="33" t="s">
        <v>64</v>
      </c>
      <c r="D33" s="22">
        <v>2</v>
      </c>
      <c r="E33" s="23">
        <v>76300</v>
      </c>
      <c r="F33" s="28"/>
      <c r="G33" s="28"/>
      <c r="H33" s="28"/>
      <c r="I33" s="28"/>
      <c r="J33" s="28"/>
      <c r="K33" s="28"/>
      <c r="L33" s="39"/>
      <c r="M33" s="28"/>
      <c r="N33" s="33">
        <f>--($O$3:$O$232='환불표 ver.1'!$H$5)*($P$3:$P$232='환불표 ver.1'!$J$5)</f>
        <v>0</v>
      </c>
      <c r="O33" s="34" t="s">
        <v>56</v>
      </c>
      <c r="P33" s="35">
        <v>30</v>
      </c>
      <c r="Q33" s="36">
        <f t="shared" si="0"/>
        <v>50000</v>
      </c>
      <c r="R33" s="28"/>
      <c r="S33" s="28"/>
      <c r="T33" s="39"/>
    </row>
    <row r="34" spans="2:20">
      <c r="B34" s="33">
        <f>--($C$4:$C$115='환불표 ver.1'!$B$5)*($D$4:$D$115='환불표 ver.1'!$D$5)</f>
        <v>0</v>
      </c>
      <c r="C34" s="33" t="s">
        <v>64</v>
      </c>
      <c r="D34" s="22">
        <v>3</v>
      </c>
      <c r="E34" s="23">
        <v>76300</v>
      </c>
      <c r="F34" s="28"/>
      <c r="G34" s="28"/>
      <c r="H34" s="28"/>
      <c r="I34" s="28"/>
      <c r="J34" s="28"/>
      <c r="K34" s="28"/>
      <c r="L34" s="39"/>
      <c r="M34" s="28"/>
      <c r="N34" s="33">
        <f>--($O$3:$O$232='환불표 ver.1'!$H$5)*($P$3:$P$232='환불표 ver.1'!$J$5)</f>
        <v>0</v>
      </c>
      <c r="O34" s="34" t="s">
        <v>56</v>
      </c>
      <c r="P34" s="35">
        <v>31</v>
      </c>
      <c r="Q34" s="36">
        <f t="shared" si="0"/>
        <v>48500</v>
      </c>
      <c r="R34" s="28"/>
      <c r="S34" s="28"/>
      <c r="T34" s="39"/>
    </row>
    <row r="35" spans="2:20">
      <c r="B35" s="33">
        <f>--($C$4:$C$115='환불표 ver.1'!$B$5)*($D$4:$D$115='환불표 ver.1'!$D$5)</f>
        <v>0</v>
      </c>
      <c r="C35" s="33" t="s">
        <v>64</v>
      </c>
      <c r="D35" s="22">
        <v>4</v>
      </c>
      <c r="E35" s="23">
        <v>76300</v>
      </c>
      <c r="F35" s="28"/>
      <c r="G35" s="28"/>
      <c r="H35" s="28"/>
      <c r="I35" s="28"/>
      <c r="J35" s="28"/>
      <c r="K35" s="28"/>
      <c r="L35" s="39"/>
      <c r="M35" s="28"/>
      <c r="N35" s="33">
        <f>--($O$3:$O$232='환불표 ver.1'!$H$5)*($P$3:$P$232='환불표 ver.1'!$J$5)</f>
        <v>0</v>
      </c>
      <c r="O35" s="34" t="s">
        <v>56</v>
      </c>
      <c r="P35" s="35">
        <v>32</v>
      </c>
      <c r="Q35" s="36">
        <f t="shared" si="0"/>
        <v>47000</v>
      </c>
      <c r="R35" s="28"/>
      <c r="S35" s="28"/>
      <c r="T35" s="39"/>
    </row>
    <row r="36" spans="2:20">
      <c r="B36" s="33">
        <f>--($C$4:$C$115='환불표 ver.1'!$B$5)*($D$4:$D$115='환불표 ver.1'!$D$5)</f>
        <v>0</v>
      </c>
      <c r="C36" s="33" t="s">
        <v>68</v>
      </c>
      <c r="D36" s="22">
        <v>5</v>
      </c>
      <c r="E36" s="23">
        <v>76300</v>
      </c>
      <c r="F36" s="28"/>
      <c r="G36" s="28"/>
      <c r="H36" s="28"/>
      <c r="I36" s="28"/>
      <c r="J36" s="28"/>
      <c r="K36" s="28"/>
      <c r="L36" s="39"/>
      <c r="M36" s="28"/>
      <c r="N36" s="33">
        <f>--($O$3:$O$232='환불표 ver.1'!$H$5)*($P$3:$P$232='환불표 ver.1'!$J$5)</f>
        <v>0</v>
      </c>
      <c r="O36" s="34" t="s">
        <v>56</v>
      </c>
      <c r="P36" s="35">
        <v>33</v>
      </c>
      <c r="Q36" s="36">
        <f t="shared" ref="Q36:Q66" si="1">Q35-1500</f>
        <v>45500</v>
      </c>
      <c r="R36" s="28"/>
      <c r="S36" s="28"/>
      <c r="T36" s="39"/>
    </row>
    <row r="37" spans="2:20">
      <c r="B37" s="33">
        <f>--($C$4:$C$115='환불표 ver.1'!$B$5)*($D$4:$D$115='환불표 ver.1'!$D$5)</f>
        <v>0</v>
      </c>
      <c r="C37" s="33" t="s">
        <v>68</v>
      </c>
      <c r="D37" s="22">
        <v>6</v>
      </c>
      <c r="E37" s="23">
        <v>76300</v>
      </c>
      <c r="F37" s="28"/>
      <c r="G37" s="28"/>
      <c r="H37" s="28"/>
      <c r="I37" s="28"/>
      <c r="J37" s="28"/>
      <c r="K37" s="28"/>
      <c r="L37" s="39"/>
      <c r="M37" s="28"/>
      <c r="N37" s="33">
        <f>--($O$3:$O$232='환불표 ver.1'!$H$5)*($P$3:$P$232='환불표 ver.1'!$J$5)</f>
        <v>0</v>
      </c>
      <c r="O37" s="34" t="s">
        <v>56</v>
      </c>
      <c r="P37" s="35">
        <v>34</v>
      </c>
      <c r="Q37" s="36">
        <f t="shared" si="1"/>
        <v>44000</v>
      </c>
      <c r="R37" s="28"/>
      <c r="S37" s="28"/>
      <c r="T37" s="39"/>
    </row>
    <row r="38" spans="2:20">
      <c r="B38" s="33">
        <f>--($C$4:$C$115='환불표 ver.1'!$B$5)*($D$4:$D$115='환불표 ver.1'!$D$5)</f>
        <v>0</v>
      </c>
      <c r="C38" s="33" t="s">
        <v>68</v>
      </c>
      <c r="D38" s="22">
        <v>7</v>
      </c>
      <c r="E38" s="23">
        <v>76300</v>
      </c>
      <c r="F38" s="28"/>
      <c r="G38" s="28"/>
      <c r="H38" s="28"/>
      <c r="I38" s="28"/>
      <c r="J38" s="28"/>
      <c r="K38" s="28"/>
      <c r="L38" s="39"/>
      <c r="M38" s="28"/>
      <c r="N38" s="33">
        <f>--($O$3:$O$232='환불표 ver.1'!$H$5)*($P$3:$P$232='환불표 ver.1'!$J$5)</f>
        <v>0</v>
      </c>
      <c r="O38" s="34" t="s">
        <v>56</v>
      </c>
      <c r="P38" s="35">
        <v>35</v>
      </c>
      <c r="Q38" s="36">
        <f t="shared" si="1"/>
        <v>42500</v>
      </c>
      <c r="R38" s="28"/>
      <c r="S38" s="28"/>
      <c r="T38" s="39"/>
    </row>
    <row r="39" spans="2:20">
      <c r="B39" s="33">
        <f>--($C$4:$C$115='환불표 ver.1'!$B$5)*($D$4:$D$115='환불표 ver.1'!$D$5)</f>
        <v>0</v>
      </c>
      <c r="C39" s="33" t="s">
        <v>68</v>
      </c>
      <c r="D39" s="22">
        <v>8</v>
      </c>
      <c r="E39" s="23">
        <v>43600</v>
      </c>
      <c r="F39" s="28"/>
      <c r="G39" s="28"/>
      <c r="H39" s="28"/>
      <c r="I39" s="28"/>
      <c r="J39" s="28"/>
      <c r="K39" s="28"/>
      <c r="L39" s="39"/>
      <c r="M39" s="28"/>
      <c r="N39" s="33">
        <f>--($O$3:$O$232='환불표 ver.1'!$H$5)*($P$3:$P$232='환불표 ver.1'!$J$5)</f>
        <v>0</v>
      </c>
      <c r="O39" s="34" t="s">
        <v>56</v>
      </c>
      <c r="P39" s="35">
        <v>36</v>
      </c>
      <c r="Q39" s="36">
        <f t="shared" si="1"/>
        <v>41000</v>
      </c>
      <c r="R39" s="28"/>
      <c r="S39" s="28"/>
      <c r="T39" s="39"/>
    </row>
    <row r="40" spans="2:20">
      <c r="B40" s="33">
        <f>--($C$4:$C$115='환불표 ver.1'!$B$5)*($D$4:$D$115='환불표 ver.1'!$D$5)</f>
        <v>0</v>
      </c>
      <c r="C40" s="33" t="s">
        <v>68</v>
      </c>
      <c r="D40" s="22">
        <v>9</v>
      </c>
      <c r="E40" s="23">
        <v>43600</v>
      </c>
      <c r="F40" s="28"/>
      <c r="G40" s="28"/>
      <c r="H40" s="28"/>
      <c r="I40" s="28"/>
      <c r="J40" s="28"/>
      <c r="K40" s="28"/>
      <c r="L40" s="39"/>
      <c r="M40" s="28"/>
      <c r="N40" s="33">
        <f>--($O$3:$O$232='환불표 ver.1'!$H$5)*($P$3:$P$232='환불표 ver.1'!$J$5)</f>
        <v>0</v>
      </c>
      <c r="O40" s="34" t="s">
        <v>56</v>
      </c>
      <c r="P40" s="35">
        <v>37</v>
      </c>
      <c r="Q40" s="36">
        <f t="shared" si="1"/>
        <v>39500</v>
      </c>
      <c r="R40" s="28"/>
      <c r="S40" s="28"/>
      <c r="T40" s="39"/>
    </row>
    <row r="41" spans="2:20">
      <c r="B41" s="33">
        <f>--($C$4:$C$115='환불표 ver.1'!$B$5)*($D$4:$D$115='환불표 ver.1'!$D$5)</f>
        <v>0</v>
      </c>
      <c r="C41" s="33" t="s">
        <v>68</v>
      </c>
      <c r="D41" s="22">
        <v>10</v>
      </c>
      <c r="E41" s="23">
        <v>43600</v>
      </c>
      <c r="F41" s="28"/>
      <c r="G41" s="28"/>
      <c r="H41" s="28"/>
      <c r="I41" s="28"/>
      <c r="J41" s="28"/>
      <c r="K41" s="28"/>
      <c r="L41" s="39"/>
      <c r="M41" s="28"/>
      <c r="N41" s="33">
        <f>--($O$3:$O$232='환불표 ver.1'!$H$5)*($P$3:$P$232='환불표 ver.1'!$J$5)</f>
        <v>0</v>
      </c>
      <c r="O41" s="34" t="s">
        <v>56</v>
      </c>
      <c r="P41" s="35">
        <v>38</v>
      </c>
      <c r="Q41" s="36">
        <f t="shared" si="1"/>
        <v>38000</v>
      </c>
      <c r="R41" s="28"/>
      <c r="S41" s="28"/>
      <c r="T41" s="39"/>
    </row>
    <row r="42" spans="2:20">
      <c r="B42" s="33">
        <f>--($C$4:$C$115='환불표 ver.1'!$B$5)*($D$4:$D$115='환불표 ver.1'!$D$5)</f>
        <v>0</v>
      </c>
      <c r="C42" s="33" t="s">
        <v>68</v>
      </c>
      <c r="D42" s="22">
        <v>11</v>
      </c>
      <c r="E42" s="23">
        <v>43600</v>
      </c>
      <c r="F42" s="28"/>
      <c r="G42" s="28"/>
      <c r="H42" s="28"/>
      <c r="I42" s="28"/>
      <c r="J42" s="28"/>
      <c r="K42" s="28"/>
      <c r="L42" s="39"/>
      <c r="M42" s="28"/>
      <c r="N42" s="33">
        <f>--($O$3:$O$232='환불표 ver.1'!$H$5)*($P$3:$P$232='환불표 ver.1'!$J$5)</f>
        <v>0</v>
      </c>
      <c r="O42" s="34" t="s">
        <v>56</v>
      </c>
      <c r="P42" s="35">
        <v>39</v>
      </c>
      <c r="Q42" s="36">
        <f t="shared" si="1"/>
        <v>36500</v>
      </c>
      <c r="R42" s="28"/>
      <c r="S42" s="28"/>
      <c r="T42" s="39"/>
    </row>
    <row r="43" spans="2:20">
      <c r="B43" s="33">
        <f>--($C$4:$C$115='환불표 ver.1'!$B$5)*($D$4:$D$115='환불표 ver.1'!$D$5)</f>
        <v>0</v>
      </c>
      <c r="C43" s="33" t="s">
        <v>68</v>
      </c>
      <c r="D43" s="22">
        <v>12</v>
      </c>
      <c r="E43" s="23">
        <v>43600</v>
      </c>
      <c r="F43" s="28"/>
      <c r="G43" s="28"/>
      <c r="H43" s="28"/>
      <c r="I43" s="28"/>
      <c r="J43" s="28"/>
      <c r="K43" s="28"/>
      <c r="L43" s="39"/>
      <c r="M43" s="28"/>
      <c r="N43" s="33">
        <f>--($O$3:$O$232='환불표 ver.1'!$H$5)*($P$3:$P$232='환불표 ver.1'!$J$5)</f>
        <v>0</v>
      </c>
      <c r="O43" s="34" t="s">
        <v>56</v>
      </c>
      <c r="P43" s="35">
        <v>40</v>
      </c>
      <c r="Q43" s="36">
        <f t="shared" si="1"/>
        <v>35000</v>
      </c>
      <c r="R43" s="28"/>
      <c r="S43" s="28"/>
      <c r="T43" s="39"/>
    </row>
    <row r="44" spans="2:20">
      <c r="B44" s="33">
        <f>--($C$4:$C$115='환불표 ver.1'!$B$5)*($D$4:$D$115='환불표 ver.1'!$D$5)</f>
        <v>0</v>
      </c>
      <c r="C44" s="33" t="s">
        <v>68</v>
      </c>
      <c r="D44" s="22">
        <v>13</v>
      </c>
      <c r="E44" s="23">
        <v>43600</v>
      </c>
      <c r="F44" s="28"/>
      <c r="G44" s="28"/>
      <c r="H44" s="28"/>
      <c r="I44" s="28"/>
      <c r="J44" s="28"/>
      <c r="K44" s="28"/>
      <c r="L44" s="39"/>
      <c r="M44" s="28"/>
      <c r="N44" s="33">
        <f>--($O$3:$O$232='환불표 ver.1'!$H$5)*($P$3:$P$232='환불표 ver.1'!$J$5)</f>
        <v>0</v>
      </c>
      <c r="O44" s="34" t="s">
        <v>56</v>
      </c>
      <c r="P44" s="35">
        <v>41</v>
      </c>
      <c r="Q44" s="36">
        <f t="shared" si="1"/>
        <v>33500</v>
      </c>
      <c r="R44" s="28"/>
      <c r="S44" s="28"/>
      <c r="T44" s="39"/>
    </row>
    <row r="45" spans="2:20">
      <c r="B45" s="33">
        <f>--($C$4:$C$115='환불표 ver.1'!$B$5)*($D$4:$D$115='환불표 ver.1'!$D$5)</f>
        <v>0</v>
      </c>
      <c r="C45" s="33" t="s">
        <v>68</v>
      </c>
      <c r="D45" s="22">
        <v>14</v>
      </c>
      <c r="E45" s="23">
        <v>43600</v>
      </c>
      <c r="F45" s="28"/>
      <c r="G45" s="28"/>
      <c r="H45" s="28"/>
      <c r="I45" s="28"/>
      <c r="J45" s="28"/>
      <c r="K45" s="28"/>
      <c r="L45" s="39"/>
      <c r="M45" s="28"/>
      <c r="N45" s="33">
        <f>--($O$3:$O$232='환불표 ver.1'!$H$5)*($P$3:$P$232='환불표 ver.1'!$J$5)</f>
        <v>0</v>
      </c>
      <c r="O45" s="34" t="s">
        <v>56</v>
      </c>
      <c r="P45" s="35">
        <v>42</v>
      </c>
      <c r="Q45" s="36">
        <f t="shared" si="1"/>
        <v>32000</v>
      </c>
      <c r="R45" s="28"/>
      <c r="S45" s="28"/>
      <c r="T45" s="39"/>
    </row>
    <row r="46" spans="2:20">
      <c r="B46" s="33">
        <f>--($C$4:$C$115='환불표 ver.1'!$B$5)*($D$4:$D$115='환불표 ver.1'!$D$5)</f>
        <v>0</v>
      </c>
      <c r="C46" s="33" t="s">
        <v>68</v>
      </c>
      <c r="D46" s="22">
        <v>15</v>
      </c>
      <c r="E46" s="23">
        <v>21800</v>
      </c>
      <c r="F46" s="28"/>
      <c r="G46" s="28"/>
      <c r="H46" s="28"/>
      <c r="I46" s="28"/>
      <c r="J46" s="28"/>
      <c r="K46" s="28"/>
      <c r="L46" s="39"/>
      <c r="M46" s="28"/>
      <c r="N46" s="33">
        <f>--($O$3:$O$232='환불표 ver.1'!$H$5)*($P$3:$P$232='환불표 ver.1'!$J$5)</f>
        <v>0</v>
      </c>
      <c r="O46" s="34" t="s">
        <v>56</v>
      </c>
      <c r="P46" s="35">
        <v>43</v>
      </c>
      <c r="Q46" s="36">
        <f t="shared" si="1"/>
        <v>30500</v>
      </c>
      <c r="R46" s="28"/>
      <c r="S46" s="28"/>
      <c r="T46" s="39"/>
    </row>
    <row r="47" spans="2:20">
      <c r="B47" s="33">
        <f>--($C$4:$C$115='환불표 ver.1'!$B$5)*($D$4:$D$115='환불표 ver.1'!$D$5)</f>
        <v>0</v>
      </c>
      <c r="C47" s="33" t="s">
        <v>68</v>
      </c>
      <c r="D47" s="22">
        <v>16</v>
      </c>
      <c r="E47" s="23">
        <v>21800</v>
      </c>
      <c r="F47" s="28"/>
      <c r="G47" s="28"/>
      <c r="H47" s="28"/>
      <c r="I47" s="28"/>
      <c r="J47" s="28"/>
      <c r="K47" s="28"/>
      <c r="L47" s="39"/>
      <c r="M47" s="28"/>
      <c r="N47" s="33">
        <f>--($O$3:$O$232='환불표 ver.1'!$H$5)*($P$3:$P$232='환불표 ver.1'!$J$5)</f>
        <v>0</v>
      </c>
      <c r="O47" s="34" t="s">
        <v>56</v>
      </c>
      <c r="P47" s="35">
        <v>44</v>
      </c>
      <c r="Q47" s="36">
        <f t="shared" si="1"/>
        <v>29000</v>
      </c>
      <c r="R47" s="28"/>
      <c r="S47" s="28"/>
      <c r="T47" s="39"/>
    </row>
    <row r="48" spans="2:20">
      <c r="B48" s="33">
        <f>--($C$4:$C$115='환불표 ver.1'!$B$5)*($D$4:$D$115='환불표 ver.1'!$D$5)</f>
        <v>0</v>
      </c>
      <c r="C48" s="33" t="s">
        <v>68</v>
      </c>
      <c r="D48" s="22">
        <v>17</v>
      </c>
      <c r="E48" s="23">
        <v>21800</v>
      </c>
      <c r="F48" s="28"/>
      <c r="G48" s="28"/>
      <c r="H48" s="28"/>
      <c r="I48" s="28"/>
      <c r="J48" s="28"/>
      <c r="K48" s="28"/>
      <c r="L48" s="39"/>
      <c r="M48" s="28"/>
      <c r="N48" s="33">
        <f>--($O$3:$O$232='환불표 ver.1'!$H$5)*($P$3:$P$232='환불표 ver.1'!$J$5)</f>
        <v>0</v>
      </c>
      <c r="O48" s="34" t="s">
        <v>56</v>
      </c>
      <c r="P48" s="35">
        <v>45</v>
      </c>
      <c r="Q48" s="36">
        <f t="shared" si="1"/>
        <v>27500</v>
      </c>
      <c r="R48" s="28"/>
      <c r="S48" s="28"/>
      <c r="T48" s="39"/>
    </row>
    <row r="49" spans="2:20">
      <c r="B49" s="33">
        <f>--($C$4:$C$115='환불표 ver.1'!$B$5)*($D$4:$D$115='환불표 ver.1'!$D$5)</f>
        <v>0</v>
      </c>
      <c r="C49" s="33" t="s">
        <v>68</v>
      </c>
      <c r="D49" s="22">
        <v>18</v>
      </c>
      <c r="E49" s="23">
        <v>21800</v>
      </c>
      <c r="F49" s="28"/>
      <c r="G49" s="28"/>
      <c r="H49" s="28"/>
      <c r="I49" s="28"/>
      <c r="J49" s="28"/>
      <c r="K49" s="28"/>
      <c r="L49" s="39"/>
      <c r="M49" s="28"/>
      <c r="N49" s="33">
        <f>--($O$3:$O$232='환불표 ver.1'!$H$5)*($P$3:$P$232='환불표 ver.1'!$J$5)</f>
        <v>0</v>
      </c>
      <c r="O49" s="34" t="s">
        <v>56</v>
      </c>
      <c r="P49" s="35">
        <v>46</v>
      </c>
      <c r="Q49" s="36">
        <f t="shared" si="1"/>
        <v>26000</v>
      </c>
      <c r="R49" s="28"/>
      <c r="S49" s="28"/>
      <c r="T49" s="39"/>
    </row>
    <row r="50" spans="2:20">
      <c r="B50" s="33">
        <f>--($C$4:$C$115='환불표 ver.1'!$B$5)*($D$4:$D$115='환불표 ver.1'!$D$5)</f>
        <v>0</v>
      </c>
      <c r="C50" s="33" t="s">
        <v>68</v>
      </c>
      <c r="D50" s="22">
        <v>19</v>
      </c>
      <c r="E50" s="23">
        <v>21800</v>
      </c>
      <c r="F50" s="28"/>
      <c r="G50" s="28"/>
      <c r="H50" s="28"/>
      <c r="I50" s="28"/>
      <c r="J50" s="28"/>
      <c r="K50" s="28"/>
      <c r="L50" s="39"/>
      <c r="M50" s="28"/>
      <c r="N50" s="33">
        <f>--($O$3:$O$232='환불표 ver.1'!$H$5)*($P$3:$P$232='환불표 ver.1'!$J$5)</f>
        <v>0</v>
      </c>
      <c r="O50" s="34" t="s">
        <v>56</v>
      </c>
      <c r="P50" s="35">
        <v>47</v>
      </c>
      <c r="Q50" s="36">
        <f t="shared" si="1"/>
        <v>24500</v>
      </c>
      <c r="R50" s="28"/>
      <c r="S50" s="28"/>
      <c r="T50" s="39"/>
    </row>
    <row r="51" spans="2:20">
      <c r="B51" s="33">
        <f>--($C$4:$C$115='환불표 ver.1'!$B$5)*($D$4:$D$115='환불표 ver.1'!$D$5)</f>
        <v>0</v>
      </c>
      <c r="C51" s="33" t="s">
        <v>68</v>
      </c>
      <c r="D51" s="22">
        <v>20</v>
      </c>
      <c r="E51" s="23">
        <v>21800</v>
      </c>
      <c r="F51" s="28"/>
      <c r="G51" s="28"/>
      <c r="H51" s="28"/>
      <c r="I51" s="28"/>
      <c r="J51" s="28"/>
      <c r="K51" s="28"/>
      <c r="L51" s="39"/>
      <c r="M51" s="28"/>
      <c r="N51" s="33">
        <f>--($O$3:$O$232='환불표 ver.1'!$H$5)*($P$3:$P$232='환불표 ver.1'!$J$5)</f>
        <v>0</v>
      </c>
      <c r="O51" s="34" t="s">
        <v>56</v>
      </c>
      <c r="P51" s="35">
        <v>48</v>
      </c>
      <c r="Q51" s="36">
        <f t="shared" si="1"/>
        <v>23000</v>
      </c>
      <c r="R51" s="28"/>
      <c r="S51" s="28"/>
      <c r="T51" s="39"/>
    </row>
    <row r="52" spans="2:20">
      <c r="B52" s="33">
        <f>--($C$4:$C$115='환불표 ver.1'!$B$5)*($D$4:$D$115='환불표 ver.1'!$D$5)</f>
        <v>0</v>
      </c>
      <c r="C52" s="33" t="s">
        <v>68</v>
      </c>
      <c r="D52" s="22">
        <v>21</v>
      </c>
      <c r="E52" s="23">
        <v>21800</v>
      </c>
      <c r="F52" s="28"/>
      <c r="G52" s="28"/>
      <c r="H52" s="28"/>
      <c r="I52" s="28"/>
      <c r="J52" s="28"/>
      <c r="K52" s="28"/>
      <c r="L52" s="39"/>
      <c r="M52" s="28"/>
      <c r="N52" s="33">
        <f>--($O$3:$O$232='환불표 ver.1'!$H$5)*($P$3:$P$232='환불표 ver.1'!$J$5)</f>
        <v>0</v>
      </c>
      <c r="O52" s="34" t="s">
        <v>56</v>
      </c>
      <c r="P52" s="35">
        <v>49</v>
      </c>
      <c r="Q52" s="36">
        <f t="shared" si="1"/>
        <v>21500</v>
      </c>
      <c r="R52" s="28"/>
      <c r="S52" s="28"/>
      <c r="T52" s="39"/>
    </row>
    <row r="53" spans="2:20">
      <c r="B53" s="33">
        <f>--($C$4:$C$115='환불표 ver.1'!$B$5)*($D$4:$D$115='환불표 ver.1'!$D$5)</f>
        <v>0</v>
      </c>
      <c r="C53" s="33" t="s">
        <v>68</v>
      </c>
      <c r="D53" s="22">
        <v>22</v>
      </c>
      <c r="E53" s="23">
        <v>0</v>
      </c>
      <c r="F53" s="28"/>
      <c r="G53" s="28"/>
      <c r="H53" s="28"/>
      <c r="I53" s="28"/>
      <c r="J53" s="28"/>
      <c r="K53" s="28"/>
      <c r="L53" s="39"/>
      <c r="M53" s="28"/>
      <c r="N53" s="33">
        <f>--($O$3:$O$232='환불표 ver.1'!$H$5)*($P$3:$P$232='환불표 ver.1'!$J$5)</f>
        <v>0</v>
      </c>
      <c r="O53" s="34" t="s">
        <v>56</v>
      </c>
      <c r="P53" s="35">
        <v>50</v>
      </c>
      <c r="Q53" s="36">
        <f t="shared" si="1"/>
        <v>20000</v>
      </c>
      <c r="R53" s="28"/>
      <c r="S53" s="28"/>
      <c r="T53" s="39"/>
    </row>
    <row r="54" spans="2:20">
      <c r="B54" s="33">
        <f>--($C$4:$C$115='환불표 ver.1'!$B$5)*($D$4:$D$115='환불표 ver.1'!$D$5)</f>
        <v>0</v>
      </c>
      <c r="C54" s="33" t="s">
        <v>68</v>
      </c>
      <c r="D54" s="22">
        <v>23</v>
      </c>
      <c r="E54" s="23">
        <v>0</v>
      </c>
      <c r="F54" s="28"/>
      <c r="G54" s="28"/>
      <c r="H54" s="28"/>
      <c r="I54" s="28"/>
      <c r="J54" s="28"/>
      <c r="K54" s="28"/>
      <c r="L54" s="39"/>
      <c r="M54" s="28"/>
      <c r="N54" s="33">
        <f>--($O$3:$O$232='환불표 ver.1'!$H$5)*($P$3:$P$232='환불표 ver.1'!$J$5)</f>
        <v>0</v>
      </c>
      <c r="O54" s="34" t="s">
        <v>56</v>
      </c>
      <c r="P54" s="35">
        <v>51</v>
      </c>
      <c r="Q54" s="36">
        <f t="shared" si="1"/>
        <v>18500</v>
      </c>
      <c r="R54" s="28"/>
      <c r="S54" s="28"/>
      <c r="T54" s="39"/>
    </row>
    <row r="55" spans="2:20">
      <c r="B55" s="33">
        <f>--($C$4:$C$115='환불표 ver.1'!$B$5)*($D$4:$D$115='환불표 ver.1'!$D$5)</f>
        <v>0</v>
      </c>
      <c r="C55" s="33" t="s">
        <v>68</v>
      </c>
      <c r="D55" s="22">
        <v>24</v>
      </c>
      <c r="E55" s="23">
        <v>0</v>
      </c>
      <c r="F55" s="28"/>
      <c r="G55" s="28"/>
      <c r="H55" s="28"/>
      <c r="I55" s="28"/>
      <c r="J55" s="28"/>
      <c r="K55" s="28"/>
      <c r="L55" s="39"/>
      <c r="M55" s="28"/>
      <c r="N55" s="33">
        <f>--($O$3:$O$232='환불표 ver.1'!$H$5)*($P$3:$P$232='환불표 ver.1'!$J$5)</f>
        <v>0</v>
      </c>
      <c r="O55" s="34" t="s">
        <v>56</v>
      </c>
      <c r="P55" s="35">
        <v>52</v>
      </c>
      <c r="Q55" s="36">
        <f t="shared" si="1"/>
        <v>17000</v>
      </c>
      <c r="R55" s="28"/>
      <c r="S55" s="28"/>
      <c r="T55" s="39"/>
    </row>
    <row r="56" spans="2:20">
      <c r="B56" s="33">
        <f>--($C$4:$C$115='환불표 ver.1'!$B$5)*($D$4:$D$115='환불표 ver.1'!$D$5)</f>
        <v>0</v>
      </c>
      <c r="C56" s="33" t="s">
        <v>68</v>
      </c>
      <c r="D56" s="22">
        <v>25</v>
      </c>
      <c r="E56" s="23">
        <v>0</v>
      </c>
      <c r="F56" s="28"/>
      <c r="G56" s="28"/>
      <c r="H56" s="28"/>
      <c r="I56" s="28"/>
      <c r="J56" s="28"/>
      <c r="K56" s="28"/>
      <c r="L56" s="39"/>
      <c r="M56" s="28"/>
      <c r="N56" s="33">
        <f>--($O$3:$O$232='환불표 ver.1'!$H$5)*($P$3:$P$232='환불표 ver.1'!$J$5)</f>
        <v>0</v>
      </c>
      <c r="O56" s="34" t="s">
        <v>56</v>
      </c>
      <c r="P56" s="35">
        <v>53</v>
      </c>
      <c r="Q56" s="36">
        <f t="shared" si="1"/>
        <v>15500</v>
      </c>
      <c r="R56" s="28"/>
      <c r="S56" s="28"/>
      <c r="T56" s="39"/>
    </row>
    <row r="57" spans="2:20">
      <c r="B57" s="33">
        <f>--($C$4:$C$115='환불표 ver.1'!$B$5)*($D$4:$D$115='환불표 ver.1'!$D$5)</f>
        <v>0</v>
      </c>
      <c r="C57" s="33" t="s">
        <v>68</v>
      </c>
      <c r="D57" s="22">
        <v>26</v>
      </c>
      <c r="E57" s="23">
        <v>0</v>
      </c>
      <c r="F57" s="28"/>
      <c r="G57" s="28"/>
      <c r="H57" s="28"/>
      <c r="I57" s="28"/>
      <c r="J57" s="28"/>
      <c r="K57" s="28"/>
      <c r="L57" s="39"/>
      <c r="M57" s="28"/>
      <c r="N57" s="33">
        <f>--($O$3:$O$232='환불표 ver.1'!$H$5)*($P$3:$P$232='환불표 ver.1'!$J$5)</f>
        <v>0</v>
      </c>
      <c r="O57" s="34" t="s">
        <v>56</v>
      </c>
      <c r="P57" s="35">
        <v>54</v>
      </c>
      <c r="Q57" s="36">
        <f t="shared" si="1"/>
        <v>14000</v>
      </c>
      <c r="R57" s="28"/>
      <c r="S57" s="28"/>
      <c r="T57" s="39"/>
    </row>
    <row r="58" spans="2:20">
      <c r="B58" s="33">
        <f>--($C$4:$C$115='환불표 ver.1'!$B$5)*($D$4:$D$115='환불표 ver.1'!$D$5)</f>
        <v>0</v>
      </c>
      <c r="C58" s="33" t="s">
        <v>68</v>
      </c>
      <c r="D58" s="22">
        <v>27</v>
      </c>
      <c r="E58" s="23">
        <v>0</v>
      </c>
      <c r="F58" s="28"/>
      <c r="G58" s="28"/>
      <c r="H58" s="28"/>
      <c r="I58" s="28"/>
      <c r="J58" s="28"/>
      <c r="K58" s="28"/>
      <c r="L58" s="39"/>
      <c r="M58" s="28"/>
      <c r="N58" s="33">
        <f>--($O$3:$O$232='환불표 ver.1'!$H$5)*($P$3:$P$232='환불표 ver.1'!$J$5)</f>
        <v>0</v>
      </c>
      <c r="O58" s="34" t="s">
        <v>56</v>
      </c>
      <c r="P58" s="35">
        <v>55</v>
      </c>
      <c r="Q58" s="36">
        <f t="shared" si="1"/>
        <v>12500</v>
      </c>
      <c r="R58" s="28"/>
      <c r="S58" s="28"/>
      <c r="T58" s="39"/>
    </row>
    <row r="59" spans="2:20">
      <c r="B59" s="33">
        <f>--($C$4:$C$115='환불표 ver.1'!$B$5)*($D$4:$D$115='환불표 ver.1'!$D$5)</f>
        <v>0</v>
      </c>
      <c r="C59" s="42" t="s">
        <v>68</v>
      </c>
      <c r="D59" s="26">
        <v>28</v>
      </c>
      <c r="E59" s="27">
        <v>0</v>
      </c>
      <c r="F59" s="28"/>
      <c r="G59" s="28"/>
      <c r="H59" s="28"/>
      <c r="I59" s="28"/>
      <c r="J59" s="28"/>
      <c r="K59" s="28"/>
      <c r="L59" s="39"/>
      <c r="M59" s="28"/>
      <c r="N59" s="33">
        <f>--($O$3:$O$232='환불표 ver.1'!$H$5)*($P$3:$P$232='환불표 ver.1'!$J$5)</f>
        <v>0</v>
      </c>
      <c r="O59" s="34" t="s">
        <v>56</v>
      </c>
      <c r="P59" s="35">
        <v>56</v>
      </c>
      <c r="Q59" s="36">
        <f t="shared" si="1"/>
        <v>11000</v>
      </c>
      <c r="R59" s="28"/>
      <c r="S59" s="28"/>
      <c r="T59" s="39"/>
    </row>
    <row r="60" spans="2:20">
      <c r="B60" s="33">
        <f>--($C$4:$C$115='환불표 ver.1'!$B$5)*($D$4:$D$115='환불표 ver.1'!$D$5)</f>
        <v>0</v>
      </c>
      <c r="C60" s="33" t="s">
        <v>65</v>
      </c>
      <c r="D60" s="22">
        <v>1</v>
      </c>
      <c r="E60" s="23">
        <v>125299.99999999999</v>
      </c>
      <c r="F60" s="28"/>
      <c r="G60" s="28"/>
      <c r="H60" s="28"/>
      <c r="I60" s="28"/>
      <c r="J60" s="28"/>
      <c r="K60" s="28"/>
      <c r="L60" s="39"/>
      <c r="M60" s="28"/>
      <c r="N60" s="33">
        <f>--($O$3:$O$232='환불표 ver.1'!$H$5)*($P$3:$P$232='환불표 ver.1'!$J$5)</f>
        <v>0</v>
      </c>
      <c r="O60" s="34" t="s">
        <v>56</v>
      </c>
      <c r="P60" s="35">
        <v>57</v>
      </c>
      <c r="Q60" s="36">
        <f t="shared" si="1"/>
        <v>9500</v>
      </c>
      <c r="R60" s="28"/>
      <c r="S60" s="28"/>
      <c r="T60" s="39"/>
    </row>
    <row r="61" spans="2:20">
      <c r="B61" s="33">
        <f>--($C$4:$C$115='환불표 ver.1'!$B$5)*($D$4:$D$115='환불표 ver.1'!$D$5)</f>
        <v>0</v>
      </c>
      <c r="C61" s="33" t="s">
        <v>65</v>
      </c>
      <c r="D61" s="22">
        <v>2</v>
      </c>
      <c r="E61" s="23">
        <v>125299.99999999999</v>
      </c>
      <c r="F61" s="28"/>
      <c r="G61" s="28"/>
      <c r="H61" s="28"/>
      <c r="I61" s="28"/>
      <c r="J61" s="28"/>
      <c r="K61" s="28"/>
      <c r="L61" s="39"/>
      <c r="M61" s="28"/>
      <c r="N61" s="33">
        <f>--($O$3:$O$232='환불표 ver.1'!$H$5)*($P$3:$P$232='환불표 ver.1'!$J$5)</f>
        <v>0</v>
      </c>
      <c r="O61" s="34" t="s">
        <v>56</v>
      </c>
      <c r="P61" s="35">
        <v>58</v>
      </c>
      <c r="Q61" s="36">
        <f t="shared" si="1"/>
        <v>8000</v>
      </c>
      <c r="R61" s="28"/>
      <c r="S61" s="28"/>
      <c r="T61" s="39"/>
    </row>
    <row r="62" spans="2:20">
      <c r="B62" s="33">
        <f>--($C$4:$C$115='환불표 ver.1'!$B$5)*($D$4:$D$115='환불표 ver.1'!$D$5)</f>
        <v>0</v>
      </c>
      <c r="C62" s="33" t="s">
        <v>65</v>
      </c>
      <c r="D62" s="22">
        <v>3</v>
      </c>
      <c r="E62" s="23">
        <v>125299.99999999999</v>
      </c>
      <c r="F62" s="28"/>
      <c r="G62" s="28"/>
      <c r="H62" s="28"/>
      <c r="I62" s="28"/>
      <c r="J62" s="28"/>
      <c r="K62" s="28"/>
      <c r="L62" s="39"/>
      <c r="M62" s="28"/>
      <c r="N62" s="33">
        <f>--($O$3:$O$232='환불표 ver.1'!$H$5)*($P$3:$P$232='환불표 ver.1'!$J$5)</f>
        <v>0</v>
      </c>
      <c r="O62" s="34" t="s">
        <v>56</v>
      </c>
      <c r="P62" s="35">
        <v>59</v>
      </c>
      <c r="Q62" s="36">
        <f t="shared" si="1"/>
        <v>6500</v>
      </c>
      <c r="R62" s="28"/>
      <c r="S62" s="28"/>
      <c r="T62" s="39"/>
    </row>
    <row r="63" spans="2:20">
      <c r="B63" s="33">
        <f>--($C$4:$C$115='환불표 ver.1'!$B$5)*($D$4:$D$115='환불표 ver.1'!$D$5)</f>
        <v>0</v>
      </c>
      <c r="C63" s="33" t="s">
        <v>65</v>
      </c>
      <c r="D63" s="22">
        <v>4</v>
      </c>
      <c r="E63" s="23">
        <v>125299.99999999999</v>
      </c>
      <c r="F63" s="28"/>
      <c r="G63" s="28"/>
      <c r="H63" s="28"/>
      <c r="I63" s="28"/>
      <c r="J63" s="28"/>
      <c r="K63" s="28"/>
      <c r="L63" s="39"/>
      <c r="M63" s="28"/>
      <c r="N63" s="33">
        <f>--($O$3:$O$232='환불표 ver.1'!$H$5)*($P$3:$P$232='환불표 ver.1'!$J$5)</f>
        <v>0</v>
      </c>
      <c r="O63" s="34" t="s">
        <v>56</v>
      </c>
      <c r="P63" s="35">
        <v>60</v>
      </c>
      <c r="Q63" s="36">
        <f t="shared" si="1"/>
        <v>5000</v>
      </c>
      <c r="R63" s="28"/>
      <c r="S63" s="28"/>
      <c r="T63" s="39"/>
    </row>
    <row r="64" spans="2:20">
      <c r="B64" s="33">
        <f>--($C$4:$C$115='환불표 ver.1'!$B$5)*($D$4:$D$115='환불표 ver.1'!$D$5)</f>
        <v>0</v>
      </c>
      <c r="C64" s="33" t="s">
        <v>65</v>
      </c>
      <c r="D64" s="22">
        <v>5</v>
      </c>
      <c r="E64" s="23">
        <v>125299.99999999999</v>
      </c>
      <c r="F64" s="28"/>
      <c r="G64" s="28"/>
      <c r="H64" s="28"/>
      <c r="I64" s="28"/>
      <c r="J64" s="28"/>
      <c r="K64" s="28"/>
      <c r="L64" s="39"/>
      <c r="M64" s="28"/>
      <c r="N64" s="33">
        <f>--($O$3:$O$232='환불표 ver.1'!$H$5)*($P$3:$P$232='환불표 ver.1'!$J$5)</f>
        <v>0</v>
      </c>
      <c r="O64" s="34" t="s">
        <v>56</v>
      </c>
      <c r="P64" s="35">
        <v>61</v>
      </c>
      <c r="Q64" s="36">
        <f t="shared" si="1"/>
        <v>3500</v>
      </c>
      <c r="R64" s="28"/>
      <c r="S64" s="28"/>
      <c r="T64" s="39"/>
    </row>
    <row r="65" spans="2:20">
      <c r="B65" s="33">
        <f>--($C$4:$C$115='환불표 ver.1'!$B$5)*($D$4:$D$115='환불표 ver.1'!$D$5)</f>
        <v>0</v>
      </c>
      <c r="C65" s="33" t="s">
        <v>65</v>
      </c>
      <c r="D65" s="22">
        <v>6</v>
      </c>
      <c r="E65" s="23">
        <v>125299.99999999999</v>
      </c>
      <c r="F65" s="28"/>
      <c r="G65" s="28"/>
      <c r="H65" s="28"/>
      <c r="I65" s="28"/>
      <c r="J65" s="28"/>
      <c r="K65" s="28"/>
      <c r="L65" s="39"/>
      <c r="M65" s="28"/>
      <c r="N65" s="33">
        <f>--($O$3:$O$232='환불표 ver.1'!$H$5)*($P$3:$P$232='환불표 ver.1'!$J$5)</f>
        <v>0</v>
      </c>
      <c r="O65" s="34" t="s">
        <v>56</v>
      </c>
      <c r="P65" s="35">
        <v>62</v>
      </c>
      <c r="Q65" s="36">
        <f t="shared" si="1"/>
        <v>2000</v>
      </c>
      <c r="R65" s="28"/>
      <c r="S65" s="28"/>
      <c r="T65" s="39"/>
    </row>
    <row r="66" spans="2:20">
      <c r="B66" s="33">
        <f>--($C$4:$C$115='환불표 ver.1'!$B$5)*($D$4:$D$115='환불표 ver.1'!$D$5)</f>
        <v>0</v>
      </c>
      <c r="C66" s="33" t="s">
        <v>65</v>
      </c>
      <c r="D66" s="22">
        <v>7</v>
      </c>
      <c r="E66" s="23">
        <v>125299.99999999999</v>
      </c>
      <c r="F66" s="28"/>
      <c r="G66" s="28"/>
      <c r="H66" s="28"/>
      <c r="I66" s="28"/>
      <c r="J66" s="28"/>
      <c r="K66" s="28"/>
      <c r="L66" s="39"/>
      <c r="M66" s="28"/>
      <c r="N66" s="33">
        <f>--($O$3:$O$232='환불표 ver.1'!$H$5)*($P$3:$P$232='환불표 ver.1'!$J$5)</f>
        <v>0</v>
      </c>
      <c r="O66" s="43" t="s">
        <v>56</v>
      </c>
      <c r="P66" s="44">
        <v>63</v>
      </c>
      <c r="Q66" s="45">
        <f t="shared" si="1"/>
        <v>500</v>
      </c>
      <c r="R66" s="28"/>
      <c r="S66" s="28"/>
      <c r="T66" s="39"/>
    </row>
    <row r="67" spans="2:20">
      <c r="B67" s="33">
        <f>--($C$4:$C$115='환불표 ver.1'!$B$5)*($D$4:$D$115='환불표 ver.1'!$D$5)</f>
        <v>0</v>
      </c>
      <c r="C67" s="33" t="s">
        <v>65</v>
      </c>
      <c r="D67" s="22">
        <v>8</v>
      </c>
      <c r="E67" s="23">
        <v>71600</v>
      </c>
      <c r="F67" s="28"/>
      <c r="G67" s="28"/>
      <c r="H67" s="28"/>
      <c r="I67" s="28"/>
      <c r="J67" s="28"/>
      <c r="K67" s="28"/>
      <c r="L67" s="39"/>
      <c r="M67" s="28"/>
      <c r="N67" s="33">
        <f>--($O$3:$O$232='환불표 ver.1'!$H$5)*($P$3:$P$232='환불표 ver.1'!$J$5)</f>
        <v>0</v>
      </c>
      <c r="O67" s="46" t="s">
        <v>62</v>
      </c>
      <c r="P67" s="47">
        <v>0</v>
      </c>
      <c r="Q67" s="48">
        <v>180000</v>
      </c>
      <c r="R67" s="28"/>
      <c r="S67" s="28"/>
      <c r="T67" s="39"/>
    </row>
    <row r="68" spans="2:20">
      <c r="B68" s="33">
        <f>--($C$4:$C$115='환불표 ver.1'!$B$5)*($D$4:$D$115='환불표 ver.1'!$D$5)</f>
        <v>0</v>
      </c>
      <c r="C68" s="33" t="s">
        <v>65</v>
      </c>
      <c r="D68" s="22">
        <v>9</v>
      </c>
      <c r="E68" s="23">
        <v>71600</v>
      </c>
      <c r="F68" s="28"/>
      <c r="G68" s="28"/>
      <c r="H68" s="28"/>
      <c r="I68" s="28"/>
      <c r="J68" s="28"/>
      <c r="K68" s="28"/>
      <c r="L68" s="39"/>
      <c r="M68" s="28"/>
      <c r="N68" s="33">
        <f>--($O$3:$O$232='환불표 ver.1'!$H$5)*($P$3:$P$232='환불표 ver.1'!$J$5)</f>
        <v>0</v>
      </c>
      <c r="O68" s="34" t="s">
        <v>62</v>
      </c>
      <c r="P68" s="35">
        <v>1</v>
      </c>
      <c r="Q68" s="36">
        <f t="shared" ref="Q68:Q99" si="2">Q67-1500</f>
        <v>178500</v>
      </c>
      <c r="R68" s="28"/>
      <c r="S68" s="28"/>
      <c r="T68" s="39"/>
    </row>
    <row r="69" spans="2:20">
      <c r="B69" s="33">
        <f>--($C$4:$C$115='환불표 ver.1'!$B$5)*($D$4:$D$115='환불표 ver.1'!$D$5)</f>
        <v>0</v>
      </c>
      <c r="C69" s="33" t="s">
        <v>65</v>
      </c>
      <c r="D69" s="22">
        <v>10</v>
      </c>
      <c r="E69" s="23">
        <v>71600</v>
      </c>
      <c r="F69" s="28"/>
      <c r="G69" s="28"/>
      <c r="H69" s="28"/>
      <c r="I69" s="28"/>
      <c r="J69" s="28"/>
      <c r="K69" s="28"/>
      <c r="L69" s="39"/>
      <c r="M69" s="28"/>
      <c r="N69" s="33">
        <f>--($O$3:$O$232='환불표 ver.1'!$H$5)*($P$3:$P$232='환불표 ver.1'!$J$5)</f>
        <v>0</v>
      </c>
      <c r="O69" s="34" t="s">
        <v>62</v>
      </c>
      <c r="P69" s="35">
        <v>2</v>
      </c>
      <c r="Q69" s="36">
        <f t="shared" si="2"/>
        <v>177000</v>
      </c>
      <c r="R69" s="28"/>
      <c r="S69" s="28"/>
      <c r="T69" s="39"/>
    </row>
    <row r="70" spans="2:20">
      <c r="B70" s="33">
        <f>--($C$4:$C$115='환불표 ver.1'!$B$5)*($D$4:$D$115='환불표 ver.1'!$D$5)</f>
        <v>0</v>
      </c>
      <c r="C70" s="33" t="s">
        <v>65</v>
      </c>
      <c r="D70" s="22">
        <v>11</v>
      </c>
      <c r="E70" s="23">
        <v>71600</v>
      </c>
      <c r="F70" s="28"/>
      <c r="G70" s="28"/>
      <c r="H70" s="28"/>
      <c r="I70" s="28"/>
      <c r="J70" s="28"/>
      <c r="K70" s="28"/>
      <c r="L70" s="39"/>
      <c r="M70" s="28"/>
      <c r="N70" s="33">
        <f>--($O$3:$O$232='환불표 ver.1'!$H$5)*($P$3:$P$232='환불표 ver.1'!$J$5)</f>
        <v>0</v>
      </c>
      <c r="O70" s="34" t="s">
        <v>62</v>
      </c>
      <c r="P70" s="35">
        <v>3</v>
      </c>
      <c r="Q70" s="36">
        <f t="shared" si="2"/>
        <v>175500</v>
      </c>
      <c r="R70" s="28"/>
      <c r="S70" s="28"/>
      <c r="T70" s="39"/>
    </row>
    <row r="71" spans="2:20">
      <c r="B71" s="33">
        <f>--($C$4:$C$115='환불표 ver.1'!$B$5)*($D$4:$D$115='환불표 ver.1'!$D$5)</f>
        <v>0</v>
      </c>
      <c r="C71" s="33" t="s">
        <v>65</v>
      </c>
      <c r="D71" s="22">
        <v>12</v>
      </c>
      <c r="E71" s="23">
        <v>71600</v>
      </c>
      <c r="F71" s="28"/>
      <c r="G71" s="28"/>
      <c r="H71" s="28"/>
      <c r="I71" s="28"/>
      <c r="J71" s="28"/>
      <c r="K71" s="28"/>
      <c r="L71" s="39"/>
      <c r="M71" s="28"/>
      <c r="N71" s="33">
        <f>--($O$3:$O$232='환불표 ver.1'!$H$5)*($P$3:$P$232='환불표 ver.1'!$J$5)</f>
        <v>0</v>
      </c>
      <c r="O71" s="34" t="s">
        <v>62</v>
      </c>
      <c r="P71" s="35">
        <v>4</v>
      </c>
      <c r="Q71" s="36">
        <f t="shared" si="2"/>
        <v>174000</v>
      </c>
      <c r="R71" s="28"/>
      <c r="S71" s="28"/>
      <c r="T71" s="39"/>
    </row>
    <row r="72" spans="2:20">
      <c r="B72" s="33">
        <f>--($C$4:$C$115='환불표 ver.1'!$B$5)*($D$4:$D$115='환불표 ver.1'!$D$5)</f>
        <v>0</v>
      </c>
      <c r="C72" s="33" t="s">
        <v>65</v>
      </c>
      <c r="D72" s="22">
        <v>13</v>
      </c>
      <c r="E72" s="23">
        <v>71600</v>
      </c>
      <c r="F72" s="28"/>
      <c r="G72" s="28"/>
      <c r="H72" s="28"/>
      <c r="I72" s="28"/>
      <c r="J72" s="28"/>
      <c r="K72" s="28"/>
      <c r="L72" s="39"/>
      <c r="M72" s="28"/>
      <c r="N72" s="33">
        <f>--($O$3:$O$232='환불표 ver.1'!$H$5)*($P$3:$P$232='환불표 ver.1'!$J$5)</f>
        <v>0</v>
      </c>
      <c r="O72" s="34" t="s">
        <v>62</v>
      </c>
      <c r="P72" s="35">
        <v>5</v>
      </c>
      <c r="Q72" s="36">
        <f t="shared" si="2"/>
        <v>172500</v>
      </c>
      <c r="R72" s="28"/>
      <c r="S72" s="28"/>
      <c r="T72" s="39"/>
    </row>
    <row r="73" spans="2:20">
      <c r="B73" s="33">
        <f>--($C$4:$C$115='환불표 ver.1'!$B$5)*($D$4:$D$115='환불표 ver.1'!$D$5)</f>
        <v>0</v>
      </c>
      <c r="C73" s="33" t="s">
        <v>65</v>
      </c>
      <c r="D73" s="22">
        <v>14</v>
      </c>
      <c r="E73" s="23">
        <v>71600</v>
      </c>
      <c r="F73" s="28"/>
      <c r="G73" s="28"/>
      <c r="H73" s="28"/>
      <c r="I73" s="28"/>
      <c r="J73" s="28"/>
      <c r="K73" s="28"/>
      <c r="L73" s="39"/>
      <c r="M73" s="28"/>
      <c r="N73" s="33">
        <f>--($O$3:$O$232='환불표 ver.1'!$H$5)*($P$3:$P$232='환불표 ver.1'!$J$5)</f>
        <v>0</v>
      </c>
      <c r="O73" s="34" t="s">
        <v>62</v>
      </c>
      <c r="P73" s="35">
        <v>6</v>
      </c>
      <c r="Q73" s="36">
        <f t="shared" si="2"/>
        <v>171000</v>
      </c>
      <c r="R73" s="28"/>
      <c r="S73" s="28"/>
      <c r="T73" s="39"/>
    </row>
    <row r="74" spans="2:20">
      <c r="B74" s="33">
        <f>--($C$4:$C$115='환불표 ver.1'!$B$5)*($D$4:$D$115='환불표 ver.1'!$D$5)</f>
        <v>0</v>
      </c>
      <c r="C74" s="33" t="s">
        <v>65</v>
      </c>
      <c r="D74" s="22">
        <v>15</v>
      </c>
      <c r="E74" s="23">
        <v>35800</v>
      </c>
      <c r="F74" s="28"/>
      <c r="G74" s="28"/>
      <c r="H74" s="28"/>
      <c r="I74" s="28"/>
      <c r="J74" s="28"/>
      <c r="K74" s="28"/>
      <c r="L74" s="39"/>
      <c r="M74" s="28"/>
      <c r="N74" s="33">
        <f>--($O$3:$O$232='환불표 ver.1'!$H$5)*($P$3:$P$232='환불표 ver.1'!$J$5)</f>
        <v>0</v>
      </c>
      <c r="O74" s="34" t="s">
        <v>62</v>
      </c>
      <c r="P74" s="35">
        <v>7</v>
      </c>
      <c r="Q74" s="36">
        <f t="shared" si="2"/>
        <v>169500</v>
      </c>
      <c r="R74" s="28"/>
      <c r="S74" s="28"/>
      <c r="T74" s="39"/>
    </row>
    <row r="75" spans="2:20">
      <c r="B75" s="33">
        <f>--($C$4:$C$115='환불표 ver.1'!$B$5)*($D$4:$D$115='환불표 ver.1'!$D$5)</f>
        <v>0</v>
      </c>
      <c r="C75" s="33" t="s">
        <v>65</v>
      </c>
      <c r="D75" s="22">
        <v>16</v>
      </c>
      <c r="E75" s="23">
        <v>35800</v>
      </c>
      <c r="F75" s="28"/>
      <c r="G75" s="28"/>
      <c r="H75" s="28"/>
      <c r="I75" s="28"/>
      <c r="J75" s="28"/>
      <c r="K75" s="28"/>
      <c r="L75" s="39"/>
      <c r="M75" s="28"/>
      <c r="N75" s="33">
        <f>--($O$3:$O$232='환불표 ver.1'!$H$5)*($P$3:$P$232='환불표 ver.1'!$J$5)</f>
        <v>0</v>
      </c>
      <c r="O75" s="34" t="s">
        <v>62</v>
      </c>
      <c r="P75" s="35">
        <v>8</v>
      </c>
      <c r="Q75" s="36">
        <f t="shared" si="2"/>
        <v>168000</v>
      </c>
      <c r="R75" s="28"/>
      <c r="S75" s="28"/>
      <c r="T75" s="39"/>
    </row>
    <row r="76" spans="2:20">
      <c r="B76" s="33">
        <f>--($C$4:$C$115='환불표 ver.1'!$B$5)*($D$4:$D$115='환불표 ver.1'!$D$5)</f>
        <v>0</v>
      </c>
      <c r="C76" s="33" t="s">
        <v>65</v>
      </c>
      <c r="D76" s="22">
        <v>17</v>
      </c>
      <c r="E76" s="23">
        <v>35800</v>
      </c>
      <c r="F76" s="28"/>
      <c r="G76" s="28"/>
      <c r="H76" s="28"/>
      <c r="I76" s="28"/>
      <c r="J76" s="28"/>
      <c r="K76" s="28"/>
      <c r="L76" s="39"/>
      <c r="M76" s="28"/>
      <c r="N76" s="33">
        <f>--($O$3:$O$232='환불표 ver.1'!$H$5)*($P$3:$P$232='환불표 ver.1'!$J$5)</f>
        <v>0</v>
      </c>
      <c r="O76" s="34" t="s">
        <v>62</v>
      </c>
      <c r="P76" s="35">
        <v>9</v>
      </c>
      <c r="Q76" s="36">
        <f t="shared" si="2"/>
        <v>166500</v>
      </c>
      <c r="R76" s="28"/>
      <c r="S76" s="28"/>
      <c r="T76" s="39"/>
    </row>
    <row r="77" spans="2:20">
      <c r="B77" s="33">
        <f>--($C$4:$C$115='환불표 ver.1'!$B$5)*($D$4:$D$115='환불표 ver.1'!$D$5)</f>
        <v>0</v>
      </c>
      <c r="C77" s="33" t="s">
        <v>65</v>
      </c>
      <c r="D77" s="22">
        <v>18</v>
      </c>
      <c r="E77" s="23">
        <v>35800</v>
      </c>
      <c r="F77" s="28"/>
      <c r="G77" s="28"/>
      <c r="H77" s="28"/>
      <c r="I77" s="28"/>
      <c r="J77" s="28"/>
      <c r="K77" s="28"/>
      <c r="L77" s="39"/>
      <c r="M77" s="28"/>
      <c r="N77" s="33">
        <f>--($O$3:$O$232='환불표 ver.1'!$H$5)*($P$3:$P$232='환불표 ver.1'!$J$5)</f>
        <v>0</v>
      </c>
      <c r="O77" s="34" t="s">
        <v>62</v>
      </c>
      <c r="P77" s="35">
        <v>10</v>
      </c>
      <c r="Q77" s="36">
        <f t="shared" si="2"/>
        <v>165000</v>
      </c>
      <c r="R77" s="28"/>
      <c r="S77" s="28"/>
      <c r="T77" s="39"/>
    </row>
    <row r="78" spans="2:20">
      <c r="B78" s="33">
        <f>--($C$4:$C$115='환불표 ver.1'!$B$5)*($D$4:$D$115='환불표 ver.1'!$D$5)</f>
        <v>0</v>
      </c>
      <c r="C78" s="33" t="s">
        <v>65</v>
      </c>
      <c r="D78" s="22">
        <v>19</v>
      </c>
      <c r="E78" s="23">
        <v>35800</v>
      </c>
      <c r="F78" s="28"/>
      <c r="G78" s="28"/>
      <c r="H78" s="28"/>
      <c r="I78" s="28"/>
      <c r="J78" s="28"/>
      <c r="K78" s="28"/>
      <c r="L78" s="39"/>
      <c r="M78" s="28"/>
      <c r="N78" s="33">
        <f>--($O$3:$O$232='환불표 ver.1'!$H$5)*($P$3:$P$232='환불표 ver.1'!$J$5)</f>
        <v>0</v>
      </c>
      <c r="O78" s="34" t="s">
        <v>62</v>
      </c>
      <c r="P78" s="35">
        <v>11</v>
      </c>
      <c r="Q78" s="36">
        <f t="shared" si="2"/>
        <v>163500</v>
      </c>
      <c r="R78" s="28"/>
      <c r="S78" s="28"/>
      <c r="T78" s="39"/>
    </row>
    <row r="79" spans="2:20">
      <c r="B79" s="33">
        <f>--($C$4:$C$115='환불표 ver.1'!$B$5)*($D$4:$D$115='환불표 ver.1'!$D$5)</f>
        <v>0</v>
      </c>
      <c r="C79" s="33" t="s">
        <v>65</v>
      </c>
      <c r="D79" s="22">
        <v>20</v>
      </c>
      <c r="E79" s="23">
        <v>35800</v>
      </c>
      <c r="F79" s="28"/>
      <c r="G79" s="28"/>
      <c r="H79" s="28"/>
      <c r="I79" s="28"/>
      <c r="J79" s="28"/>
      <c r="K79" s="28"/>
      <c r="L79" s="39"/>
      <c r="M79" s="28"/>
      <c r="N79" s="33">
        <f>--($O$3:$O$232='환불표 ver.1'!$H$5)*($P$3:$P$232='환불표 ver.1'!$J$5)</f>
        <v>0</v>
      </c>
      <c r="O79" s="34" t="s">
        <v>62</v>
      </c>
      <c r="P79" s="35">
        <v>12</v>
      </c>
      <c r="Q79" s="36">
        <f t="shared" si="2"/>
        <v>162000</v>
      </c>
      <c r="R79" s="28"/>
      <c r="S79" s="28"/>
      <c r="T79" s="39"/>
    </row>
    <row r="80" spans="2:20">
      <c r="B80" s="33">
        <f>--($C$4:$C$115='환불표 ver.1'!$B$5)*($D$4:$D$115='환불표 ver.1'!$D$5)</f>
        <v>0</v>
      </c>
      <c r="C80" s="33" t="s">
        <v>65</v>
      </c>
      <c r="D80" s="22">
        <v>21</v>
      </c>
      <c r="E80" s="23">
        <v>35800</v>
      </c>
      <c r="F80" s="28"/>
      <c r="G80" s="28"/>
      <c r="H80" s="28"/>
      <c r="I80" s="28"/>
      <c r="J80" s="28"/>
      <c r="K80" s="28"/>
      <c r="L80" s="39"/>
      <c r="M80" s="28"/>
      <c r="N80" s="33">
        <f>--($O$3:$O$232='환불표 ver.1'!$H$5)*($P$3:$P$232='환불표 ver.1'!$J$5)</f>
        <v>0</v>
      </c>
      <c r="O80" s="34" t="s">
        <v>62</v>
      </c>
      <c r="P80" s="35">
        <v>13</v>
      </c>
      <c r="Q80" s="36">
        <f t="shared" si="2"/>
        <v>160500</v>
      </c>
      <c r="R80" s="28"/>
      <c r="S80" s="28"/>
      <c r="T80" s="39"/>
    </row>
    <row r="81" spans="2:20">
      <c r="B81" s="33">
        <f>--($C$4:$C$115='환불표 ver.1'!$B$5)*($D$4:$D$115='환불표 ver.1'!$D$5)</f>
        <v>0</v>
      </c>
      <c r="C81" s="33" t="s">
        <v>65</v>
      </c>
      <c r="D81" s="22">
        <v>22</v>
      </c>
      <c r="E81" s="23">
        <v>0</v>
      </c>
      <c r="F81" s="28"/>
      <c r="G81" s="28"/>
      <c r="H81" s="28"/>
      <c r="I81" s="28"/>
      <c r="J81" s="28"/>
      <c r="K81" s="28"/>
      <c r="L81" s="39"/>
      <c r="M81" s="28"/>
      <c r="N81" s="33">
        <f>--($O$3:$O$232='환불표 ver.1'!$H$5)*($P$3:$P$232='환불표 ver.1'!$J$5)</f>
        <v>0</v>
      </c>
      <c r="O81" s="34" t="s">
        <v>62</v>
      </c>
      <c r="P81" s="35">
        <v>14</v>
      </c>
      <c r="Q81" s="36">
        <f t="shared" si="2"/>
        <v>159000</v>
      </c>
      <c r="R81" s="28"/>
      <c r="S81" s="28"/>
      <c r="T81" s="39"/>
    </row>
    <row r="82" spans="2:20">
      <c r="B82" s="33">
        <f>--($C$4:$C$115='환불표 ver.1'!$B$5)*($D$4:$D$115='환불표 ver.1'!$D$5)</f>
        <v>0</v>
      </c>
      <c r="C82" s="33" t="s">
        <v>65</v>
      </c>
      <c r="D82" s="22">
        <v>23</v>
      </c>
      <c r="E82" s="23">
        <v>0</v>
      </c>
      <c r="F82" s="28"/>
      <c r="G82" s="28"/>
      <c r="H82" s="28"/>
      <c r="I82" s="28"/>
      <c r="J82" s="28"/>
      <c r="K82" s="28"/>
      <c r="L82" s="39"/>
      <c r="M82" s="28"/>
      <c r="N82" s="33">
        <f>--($O$3:$O$232='환불표 ver.1'!$H$5)*($P$3:$P$232='환불표 ver.1'!$J$5)</f>
        <v>0</v>
      </c>
      <c r="O82" s="34" t="s">
        <v>62</v>
      </c>
      <c r="P82" s="35">
        <v>15</v>
      </c>
      <c r="Q82" s="36">
        <f t="shared" si="2"/>
        <v>157500</v>
      </c>
      <c r="R82" s="28"/>
      <c r="S82" s="28"/>
      <c r="T82" s="39"/>
    </row>
    <row r="83" spans="2:20">
      <c r="B83" s="33">
        <f>--($C$4:$C$115='환불표 ver.1'!$B$5)*($D$4:$D$115='환불표 ver.1'!$D$5)</f>
        <v>0</v>
      </c>
      <c r="C83" s="33" t="s">
        <v>65</v>
      </c>
      <c r="D83" s="22">
        <v>24</v>
      </c>
      <c r="E83" s="23">
        <v>0</v>
      </c>
      <c r="F83" s="28"/>
      <c r="G83" s="28"/>
      <c r="H83" s="28"/>
      <c r="I83" s="28"/>
      <c r="J83" s="28"/>
      <c r="K83" s="28"/>
      <c r="L83" s="39"/>
      <c r="M83" s="28"/>
      <c r="N83" s="33">
        <f>--($O$3:$O$232='환불표 ver.1'!$H$5)*($P$3:$P$232='환불표 ver.1'!$J$5)</f>
        <v>0</v>
      </c>
      <c r="O83" s="34" t="s">
        <v>62</v>
      </c>
      <c r="P83" s="35">
        <v>16</v>
      </c>
      <c r="Q83" s="36">
        <f t="shared" si="2"/>
        <v>156000</v>
      </c>
      <c r="R83" s="28"/>
      <c r="S83" s="28"/>
      <c r="T83" s="39"/>
    </row>
    <row r="84" spans="2:20">
      <c r="B84" s="33">
        <f>--($C$4:$C$115='환불표 ver.1'!$B$5)*($D$4:$D$115='환불표 ver.1'!$D$5)</f>
        <v>0</v>
      </c>
      <c r="C84" s="33" t="s">
        <v>65</v>
      </c>
      <c r="D84" s="22">
        <v>25</v>
      </c>
      <c r="E84" s="23">
        <v>0</v>
      </c>
      <c r="F84" s="28"/>
      <c r="G84" s="28"/>
      <c r="H84" s="28"/>
      <c r="I84" s="28"/>
      <c r="J84" s="28"/>
      <c r="K84" s="28"/>
      <c r="L84" s="39"/>
      <c r="M84" s="28"/>
      <c r="N84" s="33">
        <f>--($O$3:$O$232='환불표 ver.1'!$H$5)*($P$3:$P$232='환불표 ver.1'!$J$5)</f>
        <v>0</v>
      </c>
      <c r="O84" s="34" t="s">
        <v>62</v>
      </c>
      <c r="P84" s="35">
        <v>17</v>
      </c>
      <c r="Q84" s="36">
        <f t="shared" si="2"/>
        <v>154500</v>
      </c>
      <c r="R84" s="28"/>
      <c r="S84" s="28"/>
      <c r="T84" s="39"/>
    </row>
    <row r="85" spans="2:20">
      <c r="B85" s="33">
        <f>--($C$4:$C$115='환불표 ver.1'!$B$5)*($D$4:$D$115='환불표 ver.1'!$D$5)</f>
        <v>0</v>
      </c>
      <c r="C85" s="33" t="s">
        <v>65</v>
      </c>
      <c r="D85" s="22">
        <v>26</v>
      </c>
      <c r="E85" s="23">
        <v>0</v>
      </c>
      <c r="F85" s="28"/>
      <c r="G85" s="28"/>
      <c r="H85" s="28"/>
      <c r="I85" s="28"/>
      <c r="J85" s="28"/>
      <c r="K85" s="28"/>
      <c r="L85" s="39"/>
      <c r="M85" s="28"/>
      <c r="N85" s="33">
        <f>--($O$3:$O$232='환불표 ver.1'!$H$5)*($P$3:$P$232='환불표 ver.1'!$J$5)</f>
        <v>0</v>
      </c>
      <c r="O85" s="34" t="s">
        <v>62</v>
      </c>
      <c r="P85" s="35">
        <v>18</v>
      </c>
      <c r="Q85" s="36">
        <f t="shared" si="2"/>
        <v>153000</v>
      </c>
      <c r="R85" s="28"/>
      <c r="S85" s="28"/>
      <c r="T85" s="39"/>
    </row>
    <row r="86" spans="2:20">
      <c r="B86" s="33">
        <f>--($C$4:$C$115='환불표 ver.1'!$B$5)*($D$4:$D$115='환불표 ver.1'!$D$5)</f>
        <v>0</v>
      </c>
      <c r="C86" s="33" t="s">
        <v>65</v>
      </c>
      <c r="D86" s="22">
        <v>27</v>
      </c>
      <c r="E86" s="23">
        <v>0</v>
      </c>
      <c r="F86" s="28"/>
      <c r="G86" s="28"/>
      <c r="H86" s="28"/>
      <c r="I86" s="28"/>
      <c r="J86" s="28"/>
      <c r="K86" s="28"/>
      <c r="L86" s="39"/>
      <c r="M86" s="28"/>
      <c r="N86" s="33">
        <f>--($O$3:$O$232='환불표 ver.1'!$H$5)*($P$3:$P$232='환불표 ver.1'!$J$5)</f>
        <v>0</v>
      </c>
      <c r="O86" s="34" t="s">
        <v>62</v>
      </c>
      <c r="P86" s="35">
        <v>19</v>
      </c>
      <c r="Q86" s="36">
        <f t="shared" si="2"/>
        <v>151500</v>
      </c>
      <c r="R86" s="28"/>
      <c r="S86" s="28"/>
      <c r="T86" s="39"/>
    </row>
    <row r="87" spans="2:20">
      <c r="B87" s="33">
        <f>--($C$4:$C$115='환불표 ver.1'!$B$5)*($D$4:$D$115='환불표 ver.1'!$D$5)</f>
        <v>0</v>
      </c>
      <c r="C87" s="33" t="s">
        <v>65</v>
      </c>
      <c r="D87" s="22">
        <v>28</v>
      </c>
      <c r="E87" s="23">
        <v>0</v>
      </c>
      <c r="F87" s="28"/>
      <c r="G87" s="28"/>
      <c r="H87" s="28"/>
      <c r="I87" s="28"/>
      <c r="J87" s="28"/>
      <c r="K87" s="28"/>
      <c r="L87" s="39"/>
      <c r="M87" s="28"/>
      <c r="N87" s="33">
        <f>--($O$3:$O$232='환불표 ver.1'!$H$5)*($P$3:$P$232='환불표 ver.1'!$J$5)</f>
        <v>0</v>
      </c>
      <c r="O87" s="34" t="s">
        <v>62</v>
      </c>
      <c r="P87" s="35">
        <v>20</v>
      </c>
      <c r="Q87" s="36">
        <f t="shared" si="2"/>
        <v>150000</v>
      </c>
      <c r="R87" s="28"/>
      <c r="S87" s="28"/>
      <c r="T87" s="39"/>
    </row>
    <row r="88" spans="2:20">
      <c r="B88" s="33">
        <f>--($C$4:$C$115='환불표 ver.1'!$B$5)*($D$4:$D$115='환불표 ver.1'!$D$5)</f>
        <v>0</v>
      </c>
      <c r="C88" s="38" t="s">
        <v>66</v>
      </c>
      <c r="D88" s="19">
        <v>1</v>
      </c>
      <c r="E88" s="20">
        <v>160300</v>
      </c>
      <c r="F88" s="28"/>
      <c r="G88" s="28"/>
      <c r="H88" s="28"/>
      <c r="I88" s="28"/>
      <c r="J88" s="28"/>
      <c r="K88" s="28"/>
      <c r="L88" s="39"/>
      <c r="M88" s="28"/>
      <c r="N88" s="33">
        <f>--($O$3:$O$232='환불표 ver.1'!$H$5)*($P$3:$P$232='환불표 ver.1'!$J$5)</f>
        <v>0</v>
      </c>
      <c r="O88" s="34" t="s">
        <v>62</v>
      </c>
      <c r="P88" s="35">
        <v>21</v>
      </c>
      <c r="Q88" s="36">
        <f t="shared" si="2"/>
        <v>148500</v>
      </c>
      <c r="R88" s="28"/>
      <c r="S88" s="28"/>
      <c r="T88" s="39"/>
    </row>
    <row r="89" spans="2:20">
      <c r="B89" s="33">
        <f>--($C$4:$C$115='환불표 ver.1'!$B$5)*($D$4:$D$115='환불표 ver.1'!$D$5)</f>
        <v>0</v>
      </c>
      <c r="C89" s="33" t="s">
        <v>66</v>
      </c>
      <c r="D89" s="22">
        <v>2</v>
      </c>
      <c r="E89" s="23">
        <v>160300</v>
      </c>
      <c r="F89" s="28"/>
      <c r="G89" s="28"/>
      <c r="H89" s="28"/>
      <c r="I89" s="28"/>
      <c r="J89" s="28"/>
      <c r="K89" s="28"/>
      <c r="L89" s="39"/>
      <c r="M89" s="28"/>
      <c r="N89" s="33">
        <f>--($O$3:$O$232='환불표 ver.1'!$H$5)*($P$3:$P$232='환불표 ver.1'!$J$5)</f>
        <v>0</v>
      </c>
      <c r="O89" s="34" t="s">
        <v>62</v>
      </c>
      <c r="P89" s="35">
        <v>22</v>
      </c>
      <c r="Q89" s="36">
        <f t="shared" si="2"/>
        <v>147000</v>
      </c>
      <c r="R89" s="28"/>
      <c r="S89" s="28"/>
      <c r="T89" s="39"/>
    </row>
    <row r="90" spans="2:20">
      <c r="B90" s="33">
        <f>--($C$4:$C$115='환불표 ver.1'!$B$5)*($D$4:$D$115='환불표 ver.1'!$D$5)</f>
        <v>0</v>
      </c>
      <c r="C90" s="33" t="s">
        <v>66</v>
      </c>
      <c r="D90" s="22">
        <v>3</v>
      </c>
      <c r="E90" s="23">
        <v>160300</v>
      </c>
      <c r="F90" s="28"/>
      <c r="G90" s="28"/>
      <c r="H90" s="28"/>
      <c r="I90" s="28"/>
      <c r="J90" s="28"/>
      <c r="K90" s="28"/>
      <c r="L90" s="39"/>
      <c r="M90" s="28"/>
      <c r="N90" s="33">
        <f>--($O$3:$O$232='환불표 ver.1'!$H$5)*($P$3:$P$232='환불표 ver.1'!$J$5)</f>
        <v>0</v>
      </c>
      <c r="O90" s="34" t="s">
        <v>62</v>
      </c>
      <c r="P90" s="35">
        <v>23</v>
      </c>
      <c r="Q90" s="36">
        <f t="shared" si="2"/>
        <v>145500</v>
      </c>
      <c r="R90" s="28"/>
      <c r="S90" s="28"/>
      <c r="T90" s="39"/>
    </row>
    <row r="91" spans="2:20">
      <c r="B91" s="33">
        <f>--($C$4:$C$115='환불표 ver.1'!$B$5)*($D$4:$D$115='환불표 ver.1'!$D$5)</f>
        <v>0</v>
      </c>
      <c r="C91" s="33" t="s">
        <v>66</v>
      </c>
      <c r="D91" s="22">
        <v>4</v>
      </c>
      <c r="E91" s="23">
        <v>160300</v>
      </c>
      <c r="F91" s="28"/>
      <c r="G91" s="28"/>
      <c r="H91" s="28"/>
      <c r="I91" s="28"/>
      <c r="J91" s="28"/>
      <c r="K91" s="28"/>
      <c r="L91" s="39"/>
      <c r="M91" s="28"/>
      <c r="N91" s="33">
        <f>--($O$3:$O$232='환불표 ver.1'!$H$5)*($P$3:$P$232='환불표 ver.1'!$J$5)</f>
        <v>0</v>
      </c>
      <c r="O91" s="34" t="s">
        <v>62</v>
      </c>
      <c r="P91" s="35">
        <v>24</v>
      </c>
      <c r="Q91" s="36">
        <f t="shared" si="2"/>
        <v>144000</v>
      </c>
      <c r="R91" s="28"/>
      <c r="S91" s="28"/>
      <c r="T91" s="39"/>
    </row>
    <row r="92" spans="2:20">
      <c r="B92" s="33">
        <f>--($C$4:$C$115='환불표 ver.1'!$B$5)*($D$4:$D$115='환불표 ver.1'!$D$5)</f>
        <v>0</v>
      </c>
      <c r="C92" s="33" t="s">
        <v>66</v>
      </c>
      <c r="D92" s="22">
        <v>5</v>
      </c>
      <c r="E92" s="23">
        <v>160300</v>
      </c>
      <c r="F92" s="28"/>
      <c r="G92" s="28"/>
      <c r="H92" s="28"/>
      <c r="I92" s="28"/>
      <c r="J92" s="28"/>
      <c r="K92" s="28"/>
      <c r="L92" s="39"/>
      <c r="M92" s="28"/>
      <c r="N92" s="33">
        <f>--($O$3:$O$232='환불표 ver.1'!$H$5)*($P$3:$P$232='환불표 ver.1'!$J$5)</f>
        <v>0</v>
      </c>
      <c r="O92" s="34" t="s">
        <v>62</v>
      </c>
      <c r="P92" s="35">
        <v>25</v>
      </c>
      <c r="Q92" s="36">
        <f t="shared" si="2"/>
        <v>142500</v>
      </c>
      <c r="R92" s="28"/>
      <c r="S92" s="28"/>
      <c r="T92" s="39"/>
    </row>
    <row r="93" spans="2:20">
      <c r="B93" s="33">
        <f>--($C$4:$C$115='환불표 ver.1'!$B$5)*($D$4:$D$115='환불표 ver.1'!$D$5)</f>
        <v>0</v>
      </c>
      <c r="C93" s="33" t="s">
        <v>66</v>
      </c>
      <c r="D93" s="22">
        <v>6</v>
      </c>
      <c r="E93" s="23">
        <v>160300</v>
      </c>
      <c r="F93" s="28"/>
      <c r="G93" s="28"/>
      <c r="H93" s="28"/>
      <c r="I93" s="28"/>
      <c r="J93" s="28"/>
      <c r="K93" s="28"/>
      <c r="L93" s="39"/>
      <c r="M93" s="28"/>
      <c r="N93" s="33">
        <f>--($O$3:$O$232='환불표 ver.1'!$H$5)*($P$3:$P$232='환불표 ver.1'!$J$5)</f>
        <v>0</v>
      </c>
      <c r="O93" s="34" t="s">
        <v>62</v>
      </c>
      <c r="P93" s="35">
        <v>26</v>
      </c>
      <c r="Q93" s="36">
        <f t="shared" si="2"/>
        <v>141000</v>
      </c>
      <c r="R93" s="28"/>
      <c r="S93" s="28"/>
      <c r="T93" s="39"/>
    </row>
    <row r="94" spans="2:20">
      <c r="B94" s="33">
        <f>--($C$4:$C$115='환불표 ver.1'!$B$5)*($D$4:$D$115='환불표 ver.1'!$D$5)</f>
        <v>0</v>
      </c>
      <c r="C94" s="33" t="s">
        <v>66</v>
      </c>
      <c r="D94" s="22">
        <v>7</v>
      </c>
      <c r="E94" s="23">
        <v>160300</v>
      </c>
      <c r="F94" s="28"/>
      <c r="G94" s="28"/>
      <c r="H94" s="28"/>
      <c r="I94" s="28"/>
      <c r="J94" s="28"/>
      <c r="K94" s="28"/>
      <c r="L94" s="39"/>
      <c r="M94" s="28"/>
      <c r="N94" s="33">
        <f>--($O$3:$O$232='환불표 ver.1'!$H$5)*($P$3:$P$232='환불표 ver.1'!$J$5)</f>
        <v>0</v>
      </c>
      <c r="O94" s="34" t="s">
        <v>62</v>
      </c>
      <c r="P94" s="35">
        <v>27</v>
      </c>
      <c r="Q94" s="36">
        <f t="shared" si="2"/>
        <v>139500</v>
      </c>
      <c r="R94" s="28"/>
      <c r="S94" s="28"/>
      <c r="T94" s="39"/>
    </row>
    <row r="95" spans="2:20">
      <c r="B95" s="33">
        <f>--($C$4:$C$115='환불표 ver.1'!$B$5)*($D$4:$D$115='환불표 ver.1'!$D$5)</f>
        <v>0</v>
      </c>
      <c r="C95" s="33" t="s">
        <v>66</v>
      </c>
      <c r="D95" s="22">
        <v>8</v>
      </c>
      <c r="E95" s="23">
        <v>91600</v>
      </c>
      <c r="F95" s="28"/>
      <c r="G95" s="28"/>
      <c r="H95" s="28"/>
      <c r="I95" s="28"/>
      <c r="J95" s="28"/>
      <c r="K95" s="28"/>
      <c r="L95" s="39"/>
      <c r="M95" s="28"/>
      <c r="N95" s="33">
        <f>--($O$3:$O$232='환불표 ver.1'!$H$5)*($P$3:$P$232='환불표 ver.1'!$J$5)</f>
        <v>0</v>
      </c>
      <c r="O95" s="34" t="s">
        <v>62</v>
      </c>
      <c r="P95" s="35">
        <v>28</v>
      </c>
      <c r="Q95" s="36">
        <f t="shared" si="2"/>
        <v>138000</v>
      </c>
      <c r="R95" s="28"/>
      <c r="S95" s="28"/>
      <c r="T95" s="39"/>
    </row>
    <row r="96" spans="2:20">
      <c r="B96" s="33">
        <f>--($C$4:$C$115='환불표 ver.1'!$B$5)*($D$4:$D$115='환불표 ver.1'!$D$5)</f>
        <v>0</v>
      </c>
      <c r="C96" s="33" t="s">
        <v>66</v>
      </c>
      <c r="D96" s="22">
        <v>9</v>
      </c>
      <c r="E96" s="23">
        <v>91600</v>
      </c>
      <c r="F96" s="28"/>
      <c r="G96" s="28"/>
      <c r="H96" s="28"/>
      <c r="I96" s="28"/>
      <c r="J96" s="28"/>
      <c r="K96" s="28"/>
      <c r="L96" s="39"/>
      <c r="M96" s="28"/>
      <c r="N96" s="33">
        <f>--($O$3:$O$232='환불표 ver.1'!$H$5)*($P$3:$P$232='환불표 ver.1'!$J$5)</f>
        <v>0</v>
      </c>
      <c r="O96" s="34" t="s">
        <v>62</v>
      </c>
      <c r="P96" s="35">
        <v>29</v>
      </c>
      <c r="Q96" s="36">
        <f t="shared" si="2"/>
        <v>136500</v>
      </c>
      <c r="R96" s="28"/>
      <c r="S96" s="28"/>
      <c r="T96" s="39"/>
    </row>
    <row r="97" spans="2:20">
      <c r="B97" s="33">
        <f>--($C$4:$C$115='환불표 ver.1'!$B$5)*($D$4:$D$115='환불표 ver.1'!$D$5)</f>
        <v>0</v>
      </c>
      <c r="C97" s="33" t="s">
        <v>66</v>
      </c>
      <c r="D97" s="22">
        <v>10</v>
      </c>
      <c r="E97" s="23">
        <v>91600</v>
      </c>
      <c r="F97" s="28"/>
      <c r="G97" s="28"/>
      <c r="H97" s="28"/>
      <c r="I97" s="28"/>
      <c r="J97" s="28"/>
      <c r="K97" s="28"/>
      <c r="L97" s="39"/>
      <c r="M97" s="28"/>
      <c r="N97" s="33">
        <f>--($O$3:$O$232='환불표 ver.1'!$H$5)*($P$3:$P$232='환불표 ver.1'!$J$5)</f>
        <v>0</v>
      </c>
      <c r="O97" s="34" t="s">
        <v>62</v>
      </c>
      <c r="P97" s="35">
        <v>30</v>
      </c>
      <c r="Q97" s="36">
        <f t="shared" si="2"/>
        <v>135000</v>
      </c>
      <c r="R97" s="28"/>
      <c r="S97" s="28"/>
      <c r="T97" s="39"/>
    </row>
    <row r="98" spans="2:20">
      <c r="B98" s="33">
        <f>--($C$4:$C$115='환불표 ver.1'!$B$5)*($D$4:$D$115='환불표 ver.1'!$D$5)</f>
        <v>0</v>
      </c>
      <c r="C98" s="33" t="s">
        <v>66</v>
      </c>
      <c r="D98" s="22">
        <v>11</v>
      </c>
      <c r="E98" s="23">
        <v>91600</v>
      </c>
      <c r="F98" s="28"/>
      <c r="G98" s="28"/>
      <c r="H98" s="28"/>
      <c r="I98" s="28"/>
      <c r="J98" s="28"/>
      <c r="K98" s="28"/>
      <c r="L98" s="39"/>
      <c r="M98" s="28"/>
      <c r="N98" s="33">
        <f>--($O$3:$O$232='환불표 ver.1'!$H$5)*($P$3:$P$232='환불표 ver.1'!$J$5)</f>
        <v>0</v>
      </c>
      <c r="O98" s="34" t="s">
        <v>62</v>
      </c>
      <c r="P98" s="35">
        <v>31</v>
      </c>
      <c r="Q98" s="36">
        <f t="shared" si="2"/>
        <v>133500</v>
      </c>
      <c r="R98" s="28"/>
      <c r="S98" s="28"/>
      <c r="T98" s="39"/>
    </row>
    <row r="99" spans="2:20">
      <c r="B99" s="33">
        <f>--($C$4:$C$115='환불표 ver.1'!$B$5)*($D$4:$D$115='환불표 ver.1'!$D$5)</f>
        <v>0</v>
      </c>
      <c r="C99" s="33" t="s">
        <v>66</v>
      </c>
      <c r="D99" s="22">
        <v>12</v>
      </c>
      <c r="E99" s="23">
        <v>91600</v>
      </c>
      <c r="F99" s="28"/>
      <c r="G99" s="28"/>
      <c r="H99" s="28"/>
      <c r="I99" s="28"/>
      <c r="J99" s="28"/>
      <c r="K99" s="28"/>
      <c r="L99" s="39"/>
      <c r="M99" s="28"/>
      <c r="N99" s="33">
        <f>--($O$3:$O$232='환불표 ver.1'!$H$5)*($P$3:$P$232='환불표 ver.1'!$J$5)</f>
        <v>0</v>
      </c>
      <c r="O99" s="34" t="s">
        <v>62</v>
      </c>
      <c r="P99" s="35">
        <v>32</v>
      </c>
      <c r="Q99" s="36">
        <f t="shared" si="2"/>
        <v>132000</v>
      </c>
      <c r="R99" s="28"/>
      <c r="S99" s="28"/>
      <c r="T99" s="39"/>
    </row>
    <row r="100" spans="2:20">
      <c r="B100" s="33">
        <f>--($C$4:$C$115='환불표 ver.1'!$B$5)*($D$4:$D$115='환불표 ver.1'!$D$5)</f>
        <v>0</v>
      </c>
      <c r="C100" s="33" t="s">
        <v>66</v>
      </c>
      <c r="D100" s="22">
        <v>13</v>
      </c>
      <c r="E100" s="23">
        <v>91600</v>
      </c>
      <c r="F100" s="28"/>
      <c r="G100" s="28"/>
      <c r="H100" s="28"/>
      <c r="I100" s="28"/>
      <c r="J100" s="28"/>
      <c r="K100" s="28"/>
      <c r="L100" s="39"/>
      <c r="M100" s="28"/>
      <c r="N100" s="33">
        <f>--($O$3:$O$232='환불표 ver.1'!$H$5)*($P$3:$P$232='환불표 ver.1'!$J$5)</f>
        <v>0</v>
      </c>
      <c r="O100" s="34" t="s">
        <v>62</v>
      </c>
      <c r="P100" s="35">
        <v>33</v>
      </c>
      <c r="Q100" s="36">
        <f t="shared" ref="Q100:Q131" si="3">Q99-1500</f>
        <v>130500</v>
      </c>
      <c r="R100" s="28"/>
      <c r="S100" s="28"/>
      <c r="T100" s="39"/>
    </row>
    <row r="101" spans="2:20">
      <c r="B101" s="33">
        <f>--($C$4:$C$115='환불표 ver.1'!$B$5)*($D$4:$D$115='환불표 ver.1'!$D$5)</f>
        <v>0</v>
      </c>
      <c r="C101" s="33" t="s">
        <v>66</v>
      </c>
      <c r="D101" s="22">
        <v>14</v>
      </c>
      <c r="E101" s="23">
        <v>91600</v>
      </c>
      <c r="F101" s="28"/>
      <c r="G101" s="28"/>
      <c r="H101" s="28"/>
      <c r="I101" s="28"/>
      <c r="J101" s="28"/>
      <c r="K101" s="28"/>
      <c r="L101" s="39"/>
      <c r="M101" s="28"/>
      <c r="N101" s="33">
        <f>--($O$3:$O$232='환불표 ver.1'!$H$5)*($P$3:$P$232='환불표 ver.1'!$J$5)</f>
        <v>0</v>
      </c>
      <c r="O101" s="34" t="s">
        <v>62</v>
      </c>
      <c r="P101" s="35">
        <v>34</v>
      </c>
      <c r="Q101" s="36">
        <f t="shared" si="3"/>
        <v>129000</v>
      </c>
      <c r="R101" s="28"/>
      <c r="S101" s="28"/>
      <c r="T101" s="39"/>
    </row>
    <row r="102" spans="2:20">
      <c r="B102" s="33">
        <f>--($C$4:$C$115='환불표 ver.1'!$B$5)*($D$4:$D$115='환불표 ver.1'!$D$5)</f>
        <v>0</v>
      </c>
      <c r="C102" s="33" t="s">
        <v>66</v>
      </c>
      <c r="D102" s="22">
        <v>15</v>
      </c>
      <c r="E102" s="23">
        <v>45800</v>
      </c>
      <c r="F102" s="28"/>
      <c r="G102" s="28"/>
      <c r="H102" s="28"/>
      <c r="I102" s="28"/>
      <c r="J102" s="28"/>
      <c r="K102" s="28"/>
      <c r="L102" s="39"/>
      <c r="M102" s="28"/>
      <c r="N102" s="33">
        <f>--($O$3:$O$232='환불표 ver.1'!$H$5)*($P$3:$P$232='환불표 ver.1'!$J$5)</f>
        <v>0</v>
      </c>
      <c r="O102" s="34" t="s">
        <v>62</v>
      </c>
      <c r="P102" s="35">
        <v>35</v>
      </c>
      <c r="Q102" s="36">
        <f t="shared" si="3"/>
        <v>127500</v>
      </c>
      <c r="R102" s="28"/>
      <c r="S102" s="28"/>
      <c r="T102" s="39"/>
    </row>
    <row r="103" spans="2:20">
      <c r="B103" s="33">
        <f>--($C$4:$C$115='환불표 ver.1'!$B$5)*($D$4:$D$115='환불표 ver.1'!$D$5)</f>
        <v>0</v>
      </c>
      <c r="C103" s="33" t="s">
        <v>66</v>
      </c>
      <c r="D103" s="22">
        <v>16</v>
      </c>
      <c r="E103" s="23">
        <v>45800</v>
      </c>
      <c r="F103" s="28"/>
      <c r="G103" s="28"/>
      <c r="H103" s="28"/>
      <c r="I103" s="28"/>
      <c r="J103" s="28"/>
      <c r="K103" s="28"/>
      <c r="L103" s="39"/>
      <c r="M103" s="28"/>
      <c r="N103" s="33">
        <f>--($O$3:$O$232='환불표 ver.1'!$H$5)*($P$3:$P$232='환불표 ver.1'!$J$5)</f>
        <v>0</v>
      </c>
      <c r="O103" s="34" t="s">
        <v>62</v>
      </c>
      <c r="P103" s="35">
        <v>36</v>
      </c>
      <c r="Q103" s="36">
        <f t="shared" si="3"/>
        <v>126000</v>
      </c>
      <c r="R103" s="28"/>
      <c r="S103" s="28"/>
      <c r="T103" s="39"/>
    </row>
    <row r="104" spans="2:20">
      <c r="B104" s="33">
        <f>--($C$4:$C$115='환불표 ver.1'!$B$5)*($D$4:$D$115='환불표 ver.1'!$D$5)</f>
        <v>0</v>
      </c>
      <c r="C104" s="33" t="s">
        <v>66</v>
      </c>
      <c r="D104" s="22">
        <v>17</v>
      </c>
      <c r="E104" s="23">
        <v>45800</v>
      </c>
      <c r="F104" s="28"/>
      <c r="G104" s="28"/>
      <c r="H104" s="28"/>
      <c r="I104" s="28"/>
      <c r="J104" s="28"/>
      <c r="K104" s="28"/>
      <c r="L104" s="39"/>
      <c r="M104" s="28"/>
      <c r="N104" s="33">
        <f>--($O$3:$O$232='환불표 ver.1'!$H$5)*($P$3:$P$232='환불표 ver.1'!$J$5)</f>
        <v>0</v>
      </c>
      <c r="O104" s="34" t="s">
        <v>62</v>
      </c>
      <c r="P104" s="35">
        <v>37</v>
      </c>
      <c r="Q104" s="36">
        <f t="shared" si="3"/>
        <v>124500</v>
      </c>
      <c r="R104" s="28"/>
      <c r="S104" s="28"/>
      <c r="T104" s="39"/>
    </row>
    <row r="105" spans="2:20">
      <c r="B105" s="33">
        <f>--($C$4:$C$115='환불표 ver.1'!$B$5)*($D$4:$D$115='환불표 ver.1'!$D$5)</f>
        <v>0</v>
      </c>
      <c r="C105" s="33" t="s">
        <v>66</v>
      </c>
      <c r="D105" s="22">
        <v>18</v>
      </c>
      <c r="E105" s="23">
        <v>45800</v>
      </c>
      <c r="F105" s="28"/>
      <c r="G105" s="28"/>
      <c r="H105" s="28"/>
      <c r="I105" s="28"/>
      <c r="J105" s="28"/>
      <c r="K105" s="28"/>
      <c r="L105" s="39"/>
      <c r="M105" s="28"/>
      <c r="N105" s="33">
        <f>--($O$3:$O$232='환불표 ver.1'!$H$5)*($P$3:$P$232='환불표 ver.1'!$J$5)</f>
        <v>0</v>
      </c>
      <c r="O105" s="34" t="s">
        <v>62</v>
      </c>
      <c r="P105" s="35">
        <v>38</v>
      </c>
      <c r="Q105" s="36">
        <f t="shared" si="3"/>
        <v>123000</v>
      </c>
      <c r="R105" s="28"/>
      <c r="S105" s="28"/>
      <c r="T105" s="39"/>
    </row>
    <row r="106" spans="2:20">
      <c r="B106" s="33">
        <f>--($C$4:$C$115='환불표 ver.1'!$B$5)*($D$4:$D$115='환불표 ver.1'!$D$5)</f>
        <v>0</v>
      </c>
      <c r="C106" s="33" t="s">
        <v>66</v>
      </c>
      <c r="D106" s="22">
        <v>19</v>
      </c>
      <c r="E106" s="23">
        <v>45800</v>
      </c>
      <c r="F106" s="28"/>
      <c r="G106" s="28"/>
      <c r="H106" s="28"/>
      <c r="I106" s="28"/>
      <c r="J106" s="28"/>
      <c r="K106" s="28"/>
      <c r="L106" s="39"/>
      <c r="M106" s="28"/>
      <c r="N106" s="33">
        <f>--($O$3:$O$232='환불표 ver.1'!$H$5)*($P$3:$P$232='환불표 ver.1'!$J$5)</f>
        <v>0</v>
      </c>
      <c r="O106" s="34" t="s">
        <v>62</v>
      </c>
      <c r="P106" s="35">
        <v>39</v>
      </c>
      <c r="Q106" s="36">
        <f t="shared" si="3"/>
        <v>121500</v>
      </c>
      <c r="R106" s="28"/>
      <c r="S106" s="28"/>
      <c r="T106" s="39"/>
    </row>
    <row r="107" spans="2:20">
      <c r="B107" s="33">
        <f>--($C$4:$C$115='환불표 ver.1'!$B$5)*($D$4:$D$115='환불표 ver.1'!$D$5)</f>
        <v>0</v>
      </c>
      <c r="C107" s="33" t="s">
        <v>66</v>
      </c>
      <c r="D107" s="22">
        <v>20</v>
      </c>
      <c r="E107" s="23">
        <v>45800</v>
      </c>
      <c r="F107" s="28"/>
      <c r="G107" s="28"/>
      <c r="H107" s="28"/>
      <c r="I107" s="28"/>
      <c r="J107" s="28"/>
      <c r="K107" s="28"/>
      <c r="L107" s="39"/>
      <c r="M107" s="28"/>
      <c r="N107" s="33">
        <f>--($O$3:$O$232='환불표 ver.1'!$H$5)*($P$3:$P$232='환불표 ver.1'!$J$5)</f>
        <v>0</v>
      </c>
      <c r="O107" s="34" t="s">
        <v>62</v>
      </c>
      <c r="P107" s="35">
        <v>40</v>
      </c>
      <c r="Q107" s="36">
        <f t="shared" si="3"/>
        <v>120000</v>
      </c>
      <c r="R107" s="28"/>
      <c r="S107" s="28"/>
      <c r="T107" s="39"/>
    </row>
    <row r="108" spans="2:20">
      <c r="B108" s="33">
        <f>--($C$4:$C$115='환불표 ver.1'!$B$5)*($D$4:$D$115='환불표 ver.1'!$D$5)</f>
        <v>0</v>
      </c>
      <c r="C108" s="33" t="s">
        <v>66</v>
      </c>
      <c r="D108" s="22">
        <v>21</v>
      </c>
      <c r="E108" s="23">
        <v>45800</v>
      </c>
      <c r="F108" s="28"/>
      <c r="G108" s="28"/>
      <c r="H108" s="28"/>
      <c r="I108" s="28"/>
      <c r="J108" s="28"/>
      <c r="K108" s="28"/>
      <c r="L108" s="39"/>
      <c r="M108" s="28"/>
      <c r="N108" s="33">
        <f>--($O$3:$O$232='환불표 ver.1'!$H$5)*($P$3:$P$232='환불표 ver.1'!$J$5)</f>
        <v>0</v>
      </c>
      <c r="O108" s="34" t="s">
        <v>62</v>
      </c>
      <c r="P108" s="35">
        <v>41</v>
      </c>
      <c r="Q108" s="36">
        <f t="shared" si="3"/>
        <v>118500</v>
      </c>
      <c r="R108" s="28"/>
      <c r="S108" s="28"/>
      <c r="T108" s="39"/>
    </row>
    <row r="109" spans="2:20">
      <c r="B109" s="33">
        <f>--($C$4:$C$115='환불표 ver.1'!$B$5)*($D$4:$D$115='환불표 ver.1'!$D$5)</f>
        <v>0</v>
      </c>
      <c r="C109" s="33" t="s">
        <v>66</v>
      </c>
      <c r="D109" s="22">
        <v>22</v>
      </c>
      <c r="E109" s="23">
        <v>0</v>
      </c>
      <c r="F109" s="28"/>
      <c r="G109" s="28"/>
      <c r="H109" s="28"/>
      <c r="I109" s="28"/>
      <c r="J109" s="28"/>
      <c r="K109" s="28"/>
      <c r="L109" s="39"/>
      <c r="M109" s="28"/>
      <c r="N109" s="33">
        <f>--($O$3:$O$232='환불표 ver.1'!$H$5)*($P$3:$P$232='환불표 ver.1'!$J$5)</f>
        <v>0</v>
      </c>
      <c r="O109" s="34" t="s">
        <v>62</v>
      </c>
      <c r="P109" s="35">
        <v>42</v>
      </c>
      <c r="Q109" s="36">
        <f t="shared" si="3"/>
        <v>117000</v>
      </c>
      <c r="R109" s="28"/>
      <c r="S109" s="28"/>
      <c r="T109" s="39"/>
    </row>
    <row r="110" spans="2:20">
      <c r="B110" s="33">
        <f>--($C$4:$C$115='환불표 ver.1'!$B$5)*($D$4:$D$115='환불표 ver.1'!$D$5)</f>
        <v>0</v>
      </c>
      <c r="C110" s="33" t="s">
        <v>66</v>
      </c>
      <c r="D110" s="22">
        <v>23</v>
      </c>
      <c r="E110" s="23">
        <v>0</v>
      </c>
      <c r="F110" s="28"/>
      <c r="G110" s="28"/>
      <c r="H110" s="28"/>
      <c r="I110" s="28"/>
      <c r="J110" s="28"/>
      <c r="K110" s="28"/>
      <c r="L110" s="39"/>
      <c r="M110" s="28"/>
      <c r="N110" s="33">
        <f>--($O$3:$O$232='환불표 ver.1'!$H$5)*($P$3:$P$232='환불표 ver.1'!$J$5)</f>
        <v>0</v>
      </c>
      <c r="O110" s="34" t="s">
        <v>62</v>
      </c>
      <c r="P110" s="35">
        <v>43</v>
      </c>
      <c r="Q110" s="36">
        <f t="shared" si="3"/>
        <v>115500</v>
      </c>
      <c r="R110" s="28"/>
      <c r="S110" s="28"/>
      <c r="T110" s="39"/>
    </row>
    <row r="111" spans="2:20">
      <c r="B111" s="33">
        <f>--($C$4:$C$115='환불표 ver.1'!$B$5)*($D$4:$D$115='환불표 ver.1'!$D$5)</f>
        <v>0</v>
      </c>
      <c r="C111" s="33" t="s">
        <v>66</v>
      </c>
      <c r="D111" s="22">
        <v>24</v>
      </c>
      <c r="E111" s="23">
        <v>0</v>
      </c>
      <c r="F111" s="28"/>
      <c r="G111" s="28"/>
      <c r="H111" s="28"/>
      <c r="I111" s="28"/>
      <c r="J111" s="28"/>
      <c r="K111" s="28"/>
      <c r="L111" s="39"/>
      <c r="M111" s="28"/>
      <c r="N111" s="33">
        <f>--($O$3:$O$232='환불표 ver.1'!$H$5)*($P$3:$P$232='환불표 ver.1'!$J$5)</f>
        <v>0</v>
      </c>
      <c r="O111" s="34" t="s">
        <v>62</v>
      </c>
      <c r="P111" s="35">
        <v>44</v>
      </c>
      <c r="Q111" s="36">
        <f t="shared" si="3"/>
        <v>114000</v>
      </c>
      <c r="R111" s="28"/>
      <c r="S111" s="28"/>
      <c r="T111" s="39"/>
    </row>
    <row r="112" spans="2:20">
      <c r="B112" s="33">
        <f>--($C$4:$C$115='환불표 ver.1'!$B$5)*($D$4:$D$115='환불표 ver.1'!$D$5)</f>
        <v>0</v>
      </c>
      <c r="C112" s="33" t="s">
        <v>66</v>
      </c>
      <c r="D112" s="22">
        <v>25</v>
      </c>
      <c r="E112" s="23">
        <v>0</v>
      </c>
      <c r="F112" s="28"/>
      <c r="G112" s="28"/>
      <c r="H112" s="28"/>
      <c r="I112" s="28"/>
      <c r="J112" s="28"/>
      <c r="K112" s="28"/>
      <c r="L112" s="39"/>
      <c r="M112" s="28"/>
      <c r="N112" s="33">
        <f>--($O$3:$O$232='환불표 ver.1'!$H$5)*($P$3:$P$232='환불표 ver.1'!$J$5)</f>
        <v>0</v>
      </c>
      <c r="O112" s="34" t="s">
        <v>62</v>
      </c>
      <c r="P112" s="35">
        <v>45</v>
      </c>
      <c r="Q112" s="36">
        <f t="shared" si="3"/>
        <v>112500</v>
      </c>
      <c r="R112" s="28"/>
      <c r="S112" s="28"/>
      <c r="T112" s="39"/>
    </row>
    <row r="113" spans="2:20">
      <c r="B113" s="33">
        <f>--($C$4:$C$115='환불표 ver.1'!$B$5)*($D$4:$D$115='환불표 ver.1'!$D$5)</f>
        <v>0</v>
      </c>
      <c r="C113" s="33" t="s">
        <v>66</v>
      </c>
      <c r="D113" s="22">
        <v>26</v>
      </c>
      <c r="E113" s="23">
        <v>0</v>
      </c>
      <c r="F113" s="28"/>
      <c r="G113" s="28"/>
      <c r="H113" s="28"/>
      <c r="I113" s="28"/>
      <c r="J113" s="28"/>
      <c r="K113" s="28"/>
      <c r="L113" s="39"/>
      <c r="M113" s="28"/>
      <c r="N113" s="33">
        <f>--($O$3:$O$232='환불표 ver.1'!$H$5)*($P$3:$P$232='환불표 ver.1'!$J$5)</f>
        <v>0</v>
      </c>
      <c r="O113" s="34" t="s">
        <v>62</v>
      </c>
      <c r="P113" s="35">
        <v>46</v>
      </c>
      <c r="Q113" s="36">
        <f t="shared" si="3"/>
        <v>111000</v>
      </c>
      <c r="R113" s="28"/>
      <c r="S113" s="28"/>
      <c r="T113" s="39"/>
    </row>
    <row r="114" spans="2:20">
      <c r="B114" s="33">
        <f>--($C$4:$C$115='환불표 ver.1'!$B$5)*($D$4:$D$115='환불표 ver.1'!$D$5)</f>
        <v>0</v>
      </c>
      <c r="C114" s="33" t="s">
        <v>66</v>
      </c>
      <c r="D114" s="22">
        <v>27</v>
      </c>
      <c r="E114" s="23">
        <v>0</v>
      </c>
      <c r="F114" s="28"/>
      <c r="G114" s="28"/>
      <c r="H114" s="28"/>
      <c r="I114" s="28"/>
      <c r="J114" s="28"/>
      <c r="K114" s="28"/>
      <c r="L114" s="39"/>
      <c r="M114" s="28"/>
      <c r="N114" s="33">
        <f>--($O$3:$O$232='환불표 ver.1'!$H$5)*($P$3:$P$232='환불표 ver.1'!$J$5)</f>
        <v>0</v>
      </c>
      <c r="O114" s="34" t="s">
        <v>62</v>
      </c>
      <c r="P114" s="35">
        <v>47</v>
      </c>
      <c r="Q114" s="36">
        <f t="shared" si="3"/>
        <v>109500</v>
      </c>
      <c r="R114" s="28"/>
      <c r="S114" s="28"/>
      <c r="T114" s="39"/>
    </row>
    <row r="115" spans="2:20">
      <c r="B115" s="33">
        <f>--($C$4:$C$115='환불표 ver.1'!$B$5)*($D$4:$D$115='환불표 ver.1'!$D$5)</f>
        <v>0</v>
      </c>
      <c r="C115" s="42" t="s">
        <v>66</v>
      </c>
      <c r="D115" s="26">
        <v>28</v>
      </c>
      <c r="E115" s="27">
        <v>0</v>
      </c>
      <c r="F115" s="28"/>
      <c r="G115" s="28"/>
      <c r="H115" s="28"/>
      <c r="I115" s="28"/>
      <c r="J115" s="28"/>
      <c r="K115" s="28"/>
      <c r="L115" s="39"/>
      <c r="M115" s="28"/>
      <c r="N115" s="33">
        <f>--($O$3:$O$232='환불표 ver.1'!$H$5)*($P$3:$P$232='환불표 ver.1'!$J$5)</f>
        <v>0</v>
      </c>
      <c r="O115" s="34" t="s">
        <v>62</v>
      </c>
      <c r="P115" s="35">
        <v>48</v>
      </c>
      <c r="Q115" s="36">
        <f t="shared" si="3"/>
        <v>108000</v>
      </c>
      <c r="R115" s="28"/>
      <c r="S115" s="28"/>
      <c r="T115" s="39"/>
    </row>
    <row r="116" spans="2:20">
      <c r="B116" s="33">
        <f>--($C$4:$C$143='환불표 ver.1'!$B$5)*($D$4:$D$143='환불표 ver.1'!$D$5)</f>
        <v>0</v>
      </c>
      <c r="C116" s="38" t="s">
        <v>67</v>
      </c>
      <c r="D116" s="19">
        <v>1</v>
      </c>
      <c r="E116" s="20">
        <v>55300</v>
      </c>
      <c r="F116" s="28"/>
      <c r="G116" s="28"/>
      <c r="H116" s="28"/>
      <c r="I116" s="28"/>
      <c r="J116" s="28"/>
      <c r="K116" s="28"/>
      <c r="L116" s="39"/>
      <c r="M116" s="28"/>
      <c r="N116" s="33">
        <f>--($O$3:$O$232='환불표 ver.1'!$H$5)*($P$3:$P$232='환불표 ver.1'!$J$5)</f>
        <v>0</v>
      </c>
      <c r="O116" s="34" t="s">
        <v>62</v>
      </c>
      <c r="P116" s="35">
        <v>49</v>
      </c>
      <c r="Q116" s="36">
        <f t="shared" si="3"/>
        <v>106500</v>
      </c>
      <c r="R116" s="28"/>
      <c r="S116" s="28"/>
      <c r="T116" s="39"/>
    </row>
    <row r="117" spans="2:20">
      <c r="B117" s="33">
        <f>--($C$4:$C$143='환불표 ver.1'!$B$5)*($D$4:$D$143='환불표 ver.1'!$D$5)</f>
        <v>0</v>
      </c>
      <c r="C117" s="33" t="s">
        <v>67</v>
      </c>
      <c r="D117" s="22">
        <v>2</v>
      </c>
      <c r="E117" s="23">
        <v>55300</v>
      </c>
      <c r="F117" s="28"/>
      <c r="G117" s="28"/>
      <c r="H117" s="28"/>
      <c r="I117" s="28"/>
      <c r="J117" s="28"/>
      <c r="K117" s="28"/>
      <c r="L117" s="39"/>
      <c r="M117" s="28"/>
      <c r="N117" s="33">
        <f>--($O$3:$O$232='환불표 ver.1'!$H$5)*($P$3:$P$232='환불표 ver.1'!$J$5)</f>
        <v>0</v>
      </c>
      <c r="O117" s="34" t="s">
        <v>62</v>
      </c>
      <c r="P117" s="35">
        <v>50</v>
      </c>
      <c r="Q117" s="36">
        <f t="shared" si="3"/>
        <v>105000</v>
      </c>
      <c r="R117" s="28"/>
      <c r="S117" s="28"/>
      <c r="T117" s="39"/>
    </row>
    <row r="118" spans="2:20">
      <c r="B118" s="33">
        <f>--($C$4:$C$143='환불표 ver.1'!$B$5)*($D$4:$D$143='환불표 ver.1'!$D$5)</f>
        <v>0</v>
      </c>
      <c r="C118" s="33" t="s">
        <v>67</v>
      </c>
      <c r="D118" s="22">
        <v>3</v>
      </c>
      <c r="E118" s="23">
        <v>55300</v>
      </c>
      <c r="F118" s="28"/>
      <c r="G118" s="28"/>
      <c r="H118" s="28"/>
      <c r="I118" s="28"/>
      <c r="J118" s="28"/>
      <c r="K118" s="28"/>
      <c r="L118" s="39"/>
      <c r="M118" s="28"/>
      <c r="N118" s="33">
        <f>--($O$3:$O$232='환불표 ver.1'!$H$5)*($P$3:$P$232='환불표 ver.1'!$J$5)</f>
        <v>0</v>
      </c>
      <c r="O118" s="34" t="s">
        <v>62</v>
      </c>
      <c r="P118" s="35">
        <v>51</v>
      </c>
      <c r="Q118" s="36">
        <f t="shared" si="3"/>
        <v>103500</v>
      </c>
      <c r="R118" s="28"/>
      <c r="S118" s="28"/>
      <c r="T118" s="39"/>
    </row>
    <row r="119" spans="2:20">
      <c r="B119" s="33">
        <f>--($C$4:$C$143='환불표 ver.1'!$B$5)*($D$4:$D$143='환불표 ver.1'!$D$5)</f>
        <v>0</v>
      </c>
      <c r="C119" s="33" t="s">
        <v>67</v>
      </c>
      <c r="D119" s="22">
        <v>4</v>
      </c>
      <c r="E119" s="23">
        <v>55300</v>
      </c>
      <c r="F119" s="28"/>
      <c r="G119" s="28"/>
      <c r="H119" s="28"/>
      <c r="I119" s="28"/>
      <c r="J119" s="28"/>
      <c r="K119" s="28"/>
      <c r="L119" s="39"/>
      <c r="M119" s="28"/>
      <c r="N119" s="33">
        <f>--($O$3:$O$232='환불표 ver.1'!$H$5)*($P$3:$P$232='환불표 ver.1'!$J$5)</f>
        <v>0</v>
      </c>
      <c r="O119" s="34" t="s">
        <v>62</v>
      </c>
      <c r="P119" s="35">
        <v>52</v>
      </c>
      <c r="Q119" s="36">
        <f t="shared" si="3"/>
        <v>102000</v>
      </c>
      <c r="R119" s="28"/>
      <c r="S119" s="28"/>
      <c r="T119" s="39"/>
    </row>
    <row r="120" spans="2:20">
      <c r="B120" s="33">
        <f>--($C$4:$C$143='환불표 ver.1'!$B$5)*($D$4:$D$143='환불표 ver.1'!$D$5)</f>
        <v>0</v>
      </c>
      <c r="C120" s="33" t="s">
        <v>67</v>
      </c>
      <c r="D120" s="22">
        <v>5</v>
      </c>
      <c r="E120" s="23">
        <v>55300</v>
      </c>
      <c r="F120" s="28"/>
      <c r="G120" s="28"/>
      <c r="H120" s="28"/>
      <c r="I120" s="28"/>
      <c r="J120" s="28"/>
      <c r="K120" s="28"/>
      <c r="L120" s="39"/>
      <c r="M120" s="28"/>
      <c r="N120" s="33">
        <f>--($O$3:$O$232='환불표 ver.1'!$H$5)*($P$3:$P$232='환불표 ver.1'!$J$5)</f>
        <v>0</v>
      </c>
      <c r="O120" s="34" t="s">
        <v>62</v>
      </c>
      <c r="P120" s="35">
        <v>53</v>
      </c>
      <c r="Q120" s="36">
        <f t="shared" si="3"/>
        <v>100500</v>
      </c>
      <c r="R120" s="28"/>
      <c r="S120" s="28"/>
      <c r="T120" s="39"/>
    </row>
    <row r="121" spans="2:20">
      <c r="B121" s="33">
        <f>--($C$4:$C$143='환불표 ver.1'!$B$5)*($D$4:$D$143='환불표 ver.1'!$D$5)</f>
        <v>0</v>
      </c>
      <c r="C121" s="33" t="s">
        <v>67</v>
      </c>
      <c r="D121" s="22">
        <v>6</v>
      </c>
      <c r="E121" s="23">
        <v>55300</v>
      </c>
      <c r="F121" s="28"/>
      <c r="G121" s="28"/>
      <c r="H121" s="28"/>
      <c r="I121" s="28"/>
      <c r="J121" s="28"/>
      <c r="K121" s="28"/>
      <c r="L121" s="39"/>
      <c r="M121" s="28"/>
      <c r="N121" s="33">
        <f>--($O$3:$O$232='환불표 ver.1'!$H$5)*($P$3:$P$232='환불표 ver.1'!$J$5)</f>
        <v>0</v>
      </c>
      <c r="O121" s="34" t="s">
        <v>62</v>
      </c>
      <c r="P121" s="35">
        <v>54</v>
      </c>
      <c r="Q121" s="36">
        <f t="shared" si="3"/>
        <v>99000</v>
      </c>
      <c r="R121" s="28"/>
      <c r="S121" s="28"/>
      <c r="T121" s="39"/>
    </row>
    <row r="122" spans="2:20">
      <c r="B122" s="33">
        <f>--($C$4:$C$143='환불표 ver.1'!$B$5)*($D$4:$D$143='환불표 ver.1'!$D$5)</f>
        <v>0</v>
      </c>
      <c r="C122" s="33" t="s">
        <v>67</v>
      </c>
      <c r="D122" s="22">
        <v>7</v>
      </c>
      <c r="E122" s="23">
        <v>55300</v>
      </c>
      <c r="F122" s="28"/>
      <c r="G122" s="28"/>
      <c r="H122" s="28"/>
      <c r="I122" s="28"/>
      <c r="J122" s="28"/>
      <c r="K122" s="28"/>
      <c r="L122" s="39"/>
      <c r="M122" s="28"/>
      <c r="N122" s="33">
        <f>--($O$3:$O$232='환불표 ver.1'!$H$5)*($P$3:$P$232='환불표 ver.1'!$J$5)</f>
        <v>0</v>
      </c>
      <c r="O122" s="34" t="s">
        <v>62</v>
      </c>
      <c r="P122" s="35">
        <v>55</v>
      </c>
      <c r="Q122" s="36">
        <f t="shared" si="3"/>
        <v>97500</v>
      </c>
      <c r="R122" s="28"/>
      <c r="S122" s="28"/>
      <c r="T122" s="39"/>
    </row>
    <row r="123" spans="2:20">
      <c r="B123" s="33">
        <f>--($C$4:$C$143='환불표 ver.1'!$B$5)*($D$4:$D$143='환불표 ver.1'!$D$5)</f>
        <v>0</v>
      </c>
      <c r="C123" s="33" t="s">
        <v>67</v>
      </c>
      <c r="D123" s="22">
        <v>8</v>
      </c>
      <c r="E123" s="23">
        <v>31600</v>
      </c>
      <c r="F123" s="28"/>
      <c r="G123" s="28"/>
      <c r="H123" s="28"/>
      <c r="I123" s="28"/>
      <c r="J123" s="28"/>
      <c r="K123" s="28"/>
      <c r="L123" s="39"/>
      <c r="M123" s="28"/>
      <c r="N123" s="33">
        <f>--($O$3:$O$232='환불표 ver.1'!$H$5)*($P$3:$P$232='환불표 ver.1'!$J$5)</f>
        <v>0</v>
      </c>
      <c r="O123" s="34" t="s">
        <v>62</v>
      </c>
      <c r="P123" s="35">
        <v>56</v>
      </c>
      <c r="Q123" s="36">
        <f t="shared" si="3"/>
        <v>96000</v>
      </c>
      <c r="R123" s="28"/>
      <c r="S123" s="28"/>
      <c r="T123" s="39"/>
    </row>
    <row r="124" spans="2:20">
      <c r="B124" s="33">
        <f>--($C$4:$C$143='환불표 ver.1'!$B$5)*($D$4:$D$143='환불표 ver.1'!$D$5)</f>
        <v>0</v>
      </c>
      <c r="C124" s="33" t="s">
        <v>67</v>
      </c>
      <c r="D124" s="22">
        <v>9</v>
      </c>
      <c r="E124" s="23">
        <v>31600</v>
      </c>
      <c r="F124" s="28"/>
      <c r="G124" s="28"/>
      <c r="H124" s="28"/>
      <c r="I124" s="28"/>
      <c r="J124" s="28"/>
      <c r="K124" s="28"/>
      <c r="L124" s="39"/>
      <c r="M124" s="28"/>
      <c r="N124" s="33">
        <f>--($O$3:$O$232='환불표 ver.1'!$H$5)*($P$3:$P$232='환불표 ver.1'!$J$5)</f>
        <v>0</v>
      </c>
      <c r="O124" s="34" t="s">
        <v>62</v>
      </c>
      <c r="P124" s="35">
        <v>57</v>
      </c>
      <c r="Q124" s="36">
        <f t="shared" si="3"/>
        <v>94500</v>
      </c>
      <c r="R124" s="28"/>
      <c r="S124" s="28"/>
      <c r="T124" s="39"/>
    </row>
    <row r="125" spans="2:20">
      <c r="B125" s="33">
        <f>--($C$4:$C$143='환불표 ver.1'!$B$5)*($D$4:$D$143='환불표 ver.1'!$D$5)</f>
        <v>0</v>
      </c>
      <c r="C125" s="33" t="s">
        <v>67</v>
      </c>
      <c r="D125" s="22">
        <v>10</v>
      </c>
      <c r="E125" s="23">
        <v>31600</v>
      </c>
      <c r="F125" s="28"/>
      <c r="G125" s="28"/>
      <c r="H125" s="28"/>
      <c r="I125" s="28"/>
      <c r="J125" s="28"/>
      <c r="K125" s="28"/>
      <c r="L125" s="39"/>
      <c r="M125" s="28"/>
      <c r="N125" s="33">
        <f>--($O$3:$O$232='환불표 ver.1'!$H$5)*($P$3:$P$232='환불표 ver.1'!$J$5)</f>
        <v>0</v>
      </c>
      <c r="O125" s="34" t="s">
        <v>62</v>
      </c>
      <c r="P125" s="35">
        <v>58</v>
      </c>
      <c r="Q125" s="36">
        <f t="shared" si="3"/>
        <v>93000</v>
      </c>
      <c r="R125" s="28"/>
      <c r="S125" s="28"/>
      <c r="T125" s="39"/>
    </row>
    <row r="126" spans="2:20">
      <c r="B126" s="33">
        <f>--($C$4:$C$143='환불표 ver.1'!$B$5)*($D$4:$D$143='환불표 ver.1'!$D$5)</f>
        <v>0</v>
      </c>
      <c r="C126" s="33" t="s">
        <v>67</v>
      </c>
      <c r="D126" s="22">
        <v>11</v>
      </c>
      <c r="E126" s="23">
        <v>31600</v>
      </c>
      <c r="F126" s="28"/>
      <c r="G126" s="28"/>
      <c r="H126" s="28"/>
      <c r="I126" s="28"/>
      <c r="J126" s="28"/>
      <c r="K126" s="28"/>
      <c r="L126" s="39"/>
      <c r="M126" s="28"/>
      <c r="N126" s="33">
        <f>--($O$3:$O$232='환불표 ver.1'!$H$5)*($P$3:$P$232='환불표 ver.1'!$J$5)</f>
        <v>0</v>
      </c>
      <c r="O126" s="34" t="s">
        <v>62</v>
      </c>
      <c r="P126" s="35">
        <v>59</v>
      </c>
      <c r="Q126" s="36">
        <f t="shared" si="3"/>
        <v>91500</v>
      </c>
      <c r="R126" s="28"/>
      <c r="S126" s="28"/>
      <c r="T126" s="39"/>
    </row>
    <row r="127" spans="2:20">
      <c r="B127" s="33">
        <f>--($C$4:$C$143='환불표 ver.1'!$B$5)*($D$4:$D$143='환불표 ver.1'!$D$5)</f>
        <v>0</v>
      </c>
      <c r="C127" s="33" t="s">
        <v>67</v>
      </c>
      <c r="D127" s="22">
        <v>12</v>
      </c>
      <c r="E127" s="23">
        <v>31600</v>
      </c>
      <c r="F127" s="28"/>
      <c r="G127" s="28"/>
      <c r="H127" s="28"/>
      <c r="I127" s="28"/>
      <c r="J127" s="28"/>
      <c r="K127" s="28"/>
      <c r="L127" s="39"/>
      <c r="M127" s="28"/>
      <c r="N127" s="33">
        <f>--($O$3:$O$232='환불표 ver.1'!$H$5)*($P$3:$P$232='환불표 ver.1'!$J$5)</f>
        <v>0</v>
      </c>
      <c r="O127" s="34" t="s">
        <v>62</v>
      </c>
      <c r="P127" s="35">
        <v>60</v>
      </c>
      <c r="Q127" s="36">
        <f t="shared" si="3"/>
        <v>90000</v>
      </c>
      <c r="R127" s="28"/>
      <c r="S127" s="28"/>
      <c r="T127" s="39"/>
    </row>
    <row r="128" spans="2:20">
      <c r="B128" s="33">
        <f>--($C$4:$C$143='환불표 ver.1'!$B$5)*($D$4:$D$143='환불표 ver.1'!$D$5)</f>
        <v>0</v>
      </c>
      <c r="C128" s="33" t="s">
        <v>67</v>
      </c>
      <c r="D128" s="22">
        <v>13</v>
      </c>
      <c r="E128" s="23">
        <v>31600</v>
      </c>
      <c r="F128" s="28"/>
      <c r="G128" s="28"/>
      <c r="H128" s="28"/>
      <c r="I128" s="28"/>
      <c r="J128" s="28"/>
      <c r="K128" s="28"/>
      <c r="L128" s="39"/>
      <c r="M128" s="28"/>
      <c r="N128" s="33">
        <f>--($O$3:$O$232='환불표 ver.1'!$H$5)*($P$3:$P$232='환불표 ver.1'!$J$5)</f>
        <v>0</v>
      </c>
      <c r="O128" s="34" t="s">
        <v>62</v>
      </c>
      <c r="P128" s="35">
        <v>61</v>
      </c>
      <c r="Q128" s="36">
        <f t="shared" si="3"/>
        <v>88500</v>
      </c>
      <c r="R128" s="28"/>
      <c r="S128" s="28"/>
      <c r="T128" s="39"/>
    </row>
    <row r="129" spans="1:20">
      <c r="B129" s="33">
        <f>--($C$4:$C$143='환불표 ver.1'!$B$5)*($D$4:$D$143='환불표 ver.1'!$D$5)</f>
        <v>0</v>
      </c>
      <c r="C129" s="33" t="s">
        <v>67</v>
      </c>
      <c r="D129" s="22">
        <v>14</v>
      </c>
      <c r="E129" s="23">
        <v>31600</v>
      </c>
      <c r="F129" s="28"/>
      <c r="G129" s="28"/>
      <c r="H129" s="28"/>
      <c r="I129" s="28"/>
      <c r="J129" s="28"/>
      <c r="K129" s="28"/>
      <c r="L129" s="39"/>
      <c r="M129" s="28"/>
      <c r="N129" s="33">
        <f>--($O$3:$O$232='환불표 ver.1'!$H$5)*($P$3:$P$232='환불표 ver.1'!$J$5)</f>
        <v>0</v>
      </c>
      <c r="O129" s="34" t="s">
        <v>62</v>
      </c>
      <c r="P129" s="35">
        <v>62</v>
      </c>
      <c r="Q129" s="36">
        <f t="shared" si="3"/>
        <v>87000</v>
      </c>
      <c r="R129" s="28"/>
      <c r="S129" s="28"/>
      <c r="T129" s="39"/>
    </row>
    <row r="130" spans="1:20">
      <c r="B130" s="33">
        <f>--($C$4:$C$143='환불표 ver.1'!$B$5)*($D$4:$D$143='환불표 ver.1'!$D$5)</f>
        <v>0</v>
      </c>
      <c r="C130" s="33" t="s">
        <v>67</v>
      </c>
      <c r="D130" s="22">
        <v>15</v>
      </c>
      <c r="E130" s="23">
        <v>15800</v>
      </c>
      <c r="F130" s="28"/>
      <c r="G130" s="28"/>
      <c r="H130" s="28"/>
      <c r="I130" s="28"/>
      <c r="J130" s="28"/>
      <c r="K130" s="28"/>
      <c r="L130" s="39"/>
      <c r="M130" s="28"/>
      <c r="N130" s="33">
        <f>--($O$3:$O$232='환불표 ver.1'!$H$5)*($P$3:$P$232='환불표 ver.1'!$J$5)</f>
        <v>0</v>
      </c>
      <c r="O130" s="34" t="s">
        <v>62</v>
      </c>
      <c r="P130" s="35">
        <v>63</v>
      </c>
      <c r="Q130" s="36">
        <f t="shared" si="3"/>
        <v>85500</v>
      </c>
      <c r="R130" s="28"/>
      <c r="S130" s="28"/>
      <c r="T130" s="39"/>
    </row>
    <row r="131" spans="1:20">
      <c r="B131" s="33">
        <f>--($C$4:$C$143='환불표 ver.1'!$B$5)*($D$4:$D$143='환불표 ver.1'!$D$5)</f>
        <v>0</v>
      </c>
      <c r="C131" s="33" t="s">
        <v>67</v>
      </c>
      <c r="D131" s="22">
        <v>16</v>
      </c>
      <c r="E131" s="23">
        <v>15800</v>
      </c>
      <c r="F131" s="28"/>
      <c r="G131" s="28"/>
      <c r="H131" s="28"/>
      <c r="I131" s="28"/>
      <c r="J131" s="28"/>
      <c r="K131" s="28"/>
      <c r="L131" s="39"/>
      <c r="M131" s="28"/>
      <c r="N131" s="33">
        <f>--($O$3:$O$232='환불표 ver.1'!$H$5)*($P$3:$P$232='환불표 ver.1'!$J$5)</f>
        <v>0</v>
      </c>
      <c r="O131" s="34" t="s">
        <v>62</v>
      </c>
      <c r="P131" s="35">
        <v>64</v>
      </c>
      <c r="Q131" s="36">
        <f t="shared" si="3"/>
        <v>84000</v>
      </c>
      <c r="R131" s="28"/>
      <c r="S131" s="28"/>
      <c r="T131" s="39"/>
    </row>
    <row r="132" spans="1:20">
      <c r="B132" s="33">
        <f>--($C$4:$C$143='환불표 ver.1'!$B$5)*($D$4:$D$143='환불표 ver.1'!$D$5)</f>
        <v>0</v>
      </c>
      <c r="C132" s="33" t="s">
        <v>67</v>
      </c>
      <c r="D132" s="22">
        <v>17</v>
      </c>
      <c r="E132" s="23">
        <v>15800</v>
      </c>
      <c r="F132" s="28"/>
      <c r="G132" s="28"/>
      <c r="H132" s="28"/>
      <c r="I132" s="28"/>
      <c r="J132" s="28"/>
      <c r="K132" s="28"/>
      <c r="L132" s="39"/>
      <c r="M132" s="28"/>
      <c r="N132" s="33">
        <f>--($O$3:$O$232='환불표 ver.1'!$H$5)*($P$3:$P$232='환불표 ver.1'!$J$5)</f>
        <v>0</v>
      </c>
      <c r="O132" s="34" t="s">
        <v>62</v>
      </c>
      <c r="P132" s="35">
        <v>65</v>
      </c>
      <c r="Q132" s="36">
        <f t="shared" ref="Q132:Q163" si="4">Q131-1500</f>
        <v>82500</v>
      </c>
      <c r="R132" s="28"/>
      <c r="S132" s="28"/>
      <c r="T132" s="39"/>
    </row>
    <row r="133" spans="1:20">
      <c r="B133" s="33">
        <f>--($C$4:$C$143='환불표 ver.1'!$B$5)*($D$4:$D$143='환불표 ver.1'!$D$5)</f>
        <v>0</v>
      </c>
      <c r="C133" s="33" t="s">
        <v>67</v>
      </c>
      <c r="D133" s="22">
        <v>18</v>
      </c>
      <c r="E133" s="23">
        <v>15800</v>
      </c>
      <c r="F133" s="28"/>
      <c r="G133" s="28"/>
      <c r="H133" s="28"/>
      <c r="I133" s="28"/>
      <c r="J133" s="28"/>
      <c r="K133" s="28"/>
      <c r="L133" s="39"/>
      <c r="M133" s="28"/>
      <c r="N133" s="33">
        <f>--($O$3:$O$232='환불표 ver.1'!$H$5)*($P$3:$P$232='환불표 ver.1'!$J$5)</f>
        <v>0</v>
      </c>
      <c r="O133" s="34" t="s">
        <v>62</v>
      </c>
      <c r="P133" s="35">
        <v>66</v>
      </c>
      <c r="Q133" s="36">
        <f t="shared" si="4"/>
        <v>81000</v>
      </c>
      <c r="R133" s="28"/>
      <c r="S133" s="28"/>
      <c r="T133" s="39"/>
    </row>
    <row r="134" spans="1:20">
      <c r="B134" s="33">
        <f>--($C$4:$C$143='환불표 ver.1'!$B$5)*($D$4:$D$143='환불표 ver.1'!$D$5)</f>
        <v>0</v>
      </c>
      <c r="C134" s="33" t="s">
        <v>67</v>
      </c>
      <c r="D134" s="22">
        <v>19</v>
      </c>
      <c r="E134" s="23">
        <v>15800</v>
      </c>
      <c r="F134" s="28"/>
      <c r="G134" s="28"/>
      <c r="H134" s="28"/>
      <c r="I134" s="28"/>
      <c r="J134" s="28"/>
      <c r="K134" s="28"/>
      <c r="L134" s="39"/>
      <c r="M134" s="28"/>
      <c r="N134" s="33">
        <f>--($O$3:$O$232='환불표 ver.1'!$H$5)*($P$3:$P$232='환불표 ver.1'!$J$5)</f>
        <v>0</v>
      </c>
      <c r="O134" s="34" t="s">
        <v>62</v>
      </c>
      <c r="P134" s="35">
        <v>67</v>
      </c>
      <c r="Q134" s="36">
        <f t="shared" si="4"/>
        <v>79500</v>
      </c>
      <c r="R134" s="28"/>
      <c r="S134" s="28"/>
      <c r="T134" s="39"/>
    </row>
    <row r="135" spans="1:20">
      <c r="B135" s="33">
        <f>--($C$4:$C$143='환불표 ver.1'!$B$5)*($D$4:$D$143='환불표 ver.1'!$D$5)</f>
        <v>0</v>
      </c>
      <c r="C135" s="33" t="s">
        <v>67</v>
      </c>
      <c r="D135" s="22">
        <v>20</v>
      </c>
      <c r="E135" s="23">
        <v>15800</v>
      </c>
      <c r="F135" s="28"/>
      <c r="G135" s="28"/>
      <c r="H135" s="28"/>
      <c r="I135" s="28"/>
      <c r="J135" s="28"/>
      <c r="K135" s="28"/>
      <c r="L135" s="39"/>
      <c r="M135" s="28"/>
      <c r="N135" s="33">
        <f>--($O$3:$O$232='환불표 ver.1'!$H$5)*($P$3:$P$232='환불표 ver.1'!$J$5)</f>
        <v>0</v>
      </c>
      <c r="O135" s="34" t="s">
        <v>62</v>
      </c>
      <c r="P135" s="35">
        <v>68</v>
      </c>
      <c r="Q135" s="36">
        <f t="shared" si="4"/>
        <v>78000</v>
      </c>
      <c r="R135" s="28"/>
      <c r="S135" s="28"/>
      <c r="T135" s="39"/>
    </row>
    <row r="136" spans="1:20">
      <c r="B136" s="33">
        <f>--($C$4:$C$143='환불표 ver.1'!$B$5)*($D$4:$D$143='환불표 ver.1'!$D$5)</f>
        <v>0</v>
      </c>
      <c r="C136" s="33" t="s">
        <v>67</v>
      </c>
      <c r="D136" s="22">
        <v>21</v>
      </c>
      <c r="E136" s="23">
        <v>15800</v>
      </c>
      <c r="F136" s="28"/>
      <c r="G136" s="28"/>
      <c r="H136" s="28"/>
      <c r="I136" s="28"/>
      <c r="J136" s="28"/>
      <c r="K136" s="28"/>
      <c r="L136" s="39"/>
      <c r="M136" s="28"/>
      <c r="N136" s="33">
        <f>--($O$3:$O$232='환불표 ver.1'!$H$5)*($P$3:$P$232='환불표 ver.1'!$J$5)</f>
        <v>0</v>
      </c>
      <c r="O136" s="34" t="s">
        <v>62</v>
      </c>
      <c r="P136" s="35">
        <v>69</v>
      </c>
      <c r="Q136" s="36">
        <f t="shared" si="4"/>
        <v>76500</v>
      </c>
      <c r="R136" s="28"/>
      <c r="S136" s="28"/>
      <c r="T136" s="39"/>
    </row>
    <row r="137" spans="1:20">
      <c r="B137" s="33">
        <f>--($C$4:$C$143='환불표 ver.1'!$B$5)*($D$4:$D$143='환불표 ver.1'!$D$5)</f>
        <v>1</v>
      </c>
      <c r="C137" s="33" t="s">
        <v>67</v>
      </c>
      <c r="D137" s="22">
        <v>22</v>
      </c>
      <c r="E137" s="23">
        <v>0</v>
      </c>
      <c r="F137" s="28"/>
      <c r="G137" s="28"/>
      <c r="H137" s="28"/>
      <c r="I137" s="28"/>
      <c r="J137" s="28"/>
      <c r="K137" s="28"/>
      <c r="L137" s="39"/>
      <c r="M137" s="28"/>
      <c r="N137" s="33">
        <f>--($O$3:$O$232='환불표 ver.1'!$H$5)*($P$3:$P$232='환불표 ver.1'!$J$5)</f>
        <v>0</v>
      </c>
      <c r="O137" s="34" t="s">
        <v>62</v>
      </c>
      <c r="P137" s="35">
        <v>70</v>
      </c>
      <c r="Q137" s="36">
        <f t="shared" si="4"/>
        <v>75000</v>
      </c>
      <c r="R137" s="28"/>
      <c r="S137" s="28"/>
      <c r="T137" s="39"/>
    </row>
    <row r="138" spans="1:20">
      <c r="B138" s="33">
        <f>--($C$4:$C$143='환불표 ver.1'!$B$5)*($D$4:$D$143='환불표 ver.1'!$D$5)</f>
        <v>0</v>
      </c>
      <c r="C138" s="33" t="s">
        <v>67</v>
      </c>
      <c r="D138" s="22">
        <v>23</v>
      </c>
      <c r="E138" s="23">
        <v>0</v>
      </c>
      <c r="F138" s="28"/>
      <c r="G138" s="28"/>
      <c r="H138" s="28"/>
      <c r="I138" s="28"/>
      <c r="J138" s="28"/>
      <c r="K138" s="28"/>
      <c r="L138" s="39"/>
      <c r="M138" s="28"/>
      <c r="N138" s="33">
        <f>--($O$3:$O$232='환불표 ver.1'!$H$5)*($P$3:$P$232='환불표 ver.1'!$J$5)</f>
        <v>0</v>
      </c>
      <c r="O138" s="34" t="s">
        <v>62</v>
      </c>
      <c r="P138" s="35">
        <v>71</v>
      </c>
      <c r="Q138" s="36">
        <f t="shared" si="4"/>
        <v>73500</v>
      </c>
      <c r="R138" s="28"/>
      <c r="S138" s="28"/>
      <c r="T138" s="39"/>
    </row>
    <row r="139" spans="1:20">
      <c r="B139" s="33">
        <f>--($C$4:$C$143='환불표 ver.1'!$B$5)*($D$4:$D$143='환불표 ver.1'!$D$5)</f>
        <v>0</v>
      </c>
      <c r="C139" s="33" t="s">
        <v>67</v>
      </c>
      <c r="D139" s="22">
        <v>24</v>
      </c>
      <c r="E139" s="23">
        <v>0</v>
      </c>
      <c r="F139" s="28"/>
      <c r="G139" s="28"/>
      <c r="H139" s="28"/>
      <c r="I139" s="28"/>
      <c r="J139" s="28"/>
      <c r="K139" s="28"/>
      <c r="L139" s="39"/>
      <c r="M139" s="28"/>
      <c r="N139" s="33">
        <f>--($O$3:$O$232='환불표 ver.1'!$H$5)*($P$3:$P$232='환불표 ver.1'!$J$5)</f>
        <v>0</v>
      </c>
      <c r="O139" s="34" t="s">
        <v>62</v>
      </c>
      <c r="P139" s="35">
        <v>72</v>
      </c>
      <c r="Q139" s="36">
        <f t="shared" si="4"/>
        <v>72000</v>
      </c>
      <c r="R139" s="28"/>
      <c r="S139" s="28"/>
      <c r="T139" s="39"/>
    </row>
    <row r="140" spans="1:20">
      <c r="B140" s="33">
        <f>--($C$4:$C$143='환불표 ver.1'!$B$5)*($D$4:$D$143='환불표 ver.1'!$D$5)</f>
        <v>0</v>
      </c>
      <c r="C140" s="33" t="s">
        <v>67</v>
      </c>
      <c r="D140" s="22">
        <v>25</v>
      </c>
      <c r="E140" s="23">
        <v>0</v>
      </c>
      <c r="F140" s="28"/>
      <c r="G140" s="28"/>
      <c r="H140" s="28"/>
      <c r="I140" s="28"/>
      <c r="J140" s="28"/>
      <c r="K140" s="28"/>
      <c r="L140" s="39"/>
      <c r="M140" s="28"/>
      <c r="N140" s="33">
        <f>--($O$3:$O$232='환불표 ver.1'!$H$5)*($P$3:$P$232='환불표 ver.1'!$J$5)</f>
        <v>0</v>
      </c>
      <c r="O140" s="34" t="s">
        <v>62</v>
      </c>
      <c r="P140" s="35">
        <v>73</v>
      </c>
      <c r="Q140" s="36">
        <f t="shared" si="4"/>
        <v>70500</v>
      </c>
      <c r="R140" s="28"/>
      <c r="S140" s="28"/>
      <c r="T140" s="39"/>
    </row>
    <row r="141" spans="1:20">
      <c r="B141" s="33">
        <f>--($C$4:$C$143='환불표 ver.1'!$B$5)*($D$4:$D$143='환불표 ver.1'!$D$5)</f>
        <v>0</v>
      </c>
      <c r="C141" s="33" t="s">
        <v>67</v>
      </c>
      <c r="D141" s="22">
        <v>26</v>
      </c>
      <c r="E141" s="23">
        <v>0</v>
      </c>
      <c r="F141" s="28"/>
      <c r="G141" s="28"/>
      <c r="H141" s="28"/>
      <c r="I141" s="28"/>
      <c r="J141" s="28"/>
      <c r="K141" s="28"/>
      <c r="L141" s="39"/>
      <c r="M141" s="28"/>
      <c r="N141" s="33">
        <f>--($O$3:$O$232='환불표 ver.1'!$H$5)*($P$3:$P$232='환불표 ver.1'!$J$5)</f>
        <v>0</v>
      </c>
      <c r="O141" s="34" t="s">
        <v>62</v>
      </c>
      <c r="P141" s="35">
        <v>74</v>
      </c>
      <c r="Q141" s="36">
        <f t="shared" si="4"/>
        <v>69000</v>
      </c>
      <c r="R141" s="28"/>
      <c r="S141" s="28"/>
      <c r="T141" s="39"/>
    </row>
    <row r="142" spans="1:20">
      <c r="B142" s="33">
        <f>--($C$4:$C$143='환불표 ver.1'!$B$5)*($D$4:$D$143='환불표 ver.1'!$D$5)</f>
        <v>0</v>
      </c>
      <c r="C142" s="33" t="s">
        <v>67</v>
      </c>
      <c r="D142" s="22">
        <v>27</v>
      </c>
      <c r="E142" s="23">
        <v>0</v>
      </c>
      <c r="F142" s="28"/>
      <c r="G142" s="28"/>
      <c r="H142" s="28"/>
      <c r="I142" s="28"/>
      <c r="J142" s="28"/>
      <c r="K142" s="28"/>
      <c r="L142" s="39"/>
      <c r="M142" s="28"/>
      <c r="N142" s="33">
        <f>--($O$3:$O$232='환불표 ver.1'!$H$5)*($P$3:$P$232='환불표 ver.1'!$J$5)</f>
        <v>0</v>
      </c>
      <c r="O142" s="34" t="s">
        <v>62</v>
      </c>
      <c r="P142" s="35">
        <v>75</v>
      </c>
      <c r="Q142" s="36">
        <f t="shared" si="4"/>
        <v>67500</v>
      </c>
      <c r="R142" s="28"/>
      <c r="S142" s="28"/>
      <c r="T142" s="39"/>
    </row>
    <row r="143" spans="1:20">
      <c r="A143" s="8"/>
      <c r="B143" s="42">
        <f>--($C$4:$C$143='환불표 ver.1'!$B$5)*($D$4:$D$143='환불표 ver.1'!$D$5)</f>
        <v>0</v>
      </c>
      <c r="C143" s="42" t="s">
        <v>67</v>
      </c>
      <c r="D143" s="26">
        <v>28</v>
      </c>
      <c r="E143" s="27">
        <v>0</v>
      </c>
      <c r="F143" s="49"/>
      <c r="G143" s="49"/>
      <c r="H143" s="49"/>
      <c r="I143" s="49"/>
      <c r="J143" s="49"/>
      <c r="K143" s="49"/>
      <c r="L143" s="50"/>
      <c r="M143" s="28"/>
      <c r="N143" s="33">
        <f>--($O$3:$O$232='환불표 ver.1'!$H$5)*($P$3:$P$232='환불표 ver.1'!$J$5)</f>
        <v>0</v>
      </c>
      <c r="O143" s="34" t="s">
        <v>62</v>
      </c>
      <c r="P143" s="35">
        <v>76</v>
      </c>
      <c r="Q143" s="36">
        <f t="shared" si="4"/>
        <v>66000</v>
      </c>
      <c r="R143" s="28"/>
      <c r="S143" s="28"/>
      <c r="T143" s="39"/>
    </row>
    <row r="144" spans="1:20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33">
        <f>--($O$3:$O$232='환불표 ver.1'!$H$5)*($P$3:$P$232='환불표 ver.1'!$J$5)</f>
        <v>0</v>
      </c>
      <c r="O144" s="34" t="s">
        <v>62</v>
      </c>
      <c r="P144" s="35">
        <v>77</v>
      </c>
      <c r="Q144" s="36">
        <f t="shared" si="4"/>
        <v>64500</v>
      </c>
      <c r="R144" s="28"/>
      <c r="S144" s="28"/>
      <c r="T144" s="39"/>
    </row>
    <row r="145" spans="2:20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33">
        <f>--($O$3:$O$232='환불표 ver.1'!$H$5)*($P$3:$P$232='환불표 ver.1'!$J$5)</f>
        <v>0</v>
      </c>
      <c r="O145" s="34" t="s">
        <v>62</v>
      </c>
      <c r="P145" s="35">
        <v>78</v>
      </c>
      <c r="Q145" s="36">
        <f t="shared" si="4"/>
        <v>63000</v>
      </c>
      <c r="R145" s="28"/>
      <c r="S145" s="28"/>
      <c r="T145" s="39"/>
    </row>
    <row r="146" spans="2:20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33">
        <f>--($O$3:$O$232='환불표 ver.1'!$H$5)*($P$3:$P$232='환불표 ver.1'!$J$5)</f>
        <v>0</v>
      </c>
      <c r="O146" s="34" t="s">
        <v>62</v>
      </c>
      <c r="P146" s="35">
        <v>79</v>
      </c>
      <c r="Q146" s="36">
        <f t="shared" si="4"/>
        <v>61500</v>
      </c>
      <c r="R146" s="28"/>
      <c r="S146" s="28"/>
      <c r="T146" s="39"/>
    </row>
    <row r="147" spans="2:20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33">
        <f>--($O$3:$O$232='환불표 ver.1'!$H$5)*($P$3:$P$232='환불표 ver.1'!$J$5)</f>
        <v>0</v>
      </c>
      <c r="O147" s="34" t="s">
        <v>62</v>
      </c>
      <c r="P147" s="35">
        <v>80</v>
      </c>
      <c r="Q147" s="36">
        <f t="shared" si="4"/>
        <v>60000</v>
      </c>
      <c r="R147" s="28"/>
      <c r="S147" s="28"/>
      <c r="T147" s="39"/>
    </row>
    <row r="148" spans="2:20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33">
        <f>--($O$3:$O$232='환불표 ver.1'!$H$5)*($P$3:$P$232='환불표 ver.1'!$J$5)</f>
        <v>0</v>
      </c>
      <c r="O148" s="34" t="s">
        <v>62</v>
      </c>
      <c r="P148" s="35">
        <v>81</v>
      </c>
      <c r="Q148" s="36">
        <f t="shared" si="4"/>
        <v>58500</v>
      </c>
      <c r="R148" s="28"/>
      <c r="S148" s="28"/>
      <c r="T148" s="39"/>
    </row>
    <row r="149" spans="2:20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33">
        <f>--($O$3:$O$232='환불표 ver.1'!$H$5)*($P$3:$P$232='환불표 ver.1'!$J$5)</f>
        <v>0</v>
      </c>
      <c r="O149" s="34" t="s">
        <v>62</v>
      </c>
      <c r="P149" s="35">
        <v>82</v>
      </c>
      <c r="Q149" s="36">
        <f t="shared" si="4"/>
        <v>57000</v>
      </c>
      <c r="R149" s="28"/>
      <c r="S149" s="28"/>
      <c r="T149" s="39"/>
    </row>
    <row r="150" spans="2:20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33">
        <f>--($O$3:$O$232='환불표 ver.1'!$H$5)*($P$3:$P$232='환불표 ver.1'!$J$5)</f>
        <v>0</v>
      </c>
      <c r="O150" s="34" t="s">
        <v>62</v>
      </c>
      <c r="P150" s="35">
        <v>83</v>
      </c>
      <c r="Q150" s="36">
        <f t="shared" si="4"/>
        <v>55500</v>
      </c>
      <c r="R150" s="28"/>
      <c r="S150" s="28"/>
      <c r="T150" s="39"/>
    </row>
    <row r="151" spans="2:20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33">
        <f>--($O$3:$O$232='환불표 ver.1'!$H$5)*($P$3:$P$232='환불표 ver.1'!$J$5)</f>
        <v>0</v>
      </c>
      <c r="O151" s="34" t="s">
        <v>62</v>
      </c>
      <c r="P151" s="35">
        <v>84</v>
      </c>
      <c r="Q151" s="36">
        <f t="shared" si="4"/>
        <v>54000</v>
      </c>
      <c r="R151" s="28"/>
      <c r="S151" s="28"/>
      <c r="T151" s="39"/>
    </row>
    <row r="152" spans="2:20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33">
        <f>--($O$3:$O$232='환불표 ver.1'!$H$5)*($P$3:$P$232='환불표 ver.1'!$J$5)</f>
        <v>0</v>
      </c>
      <c r="O152" s="34" t="s">
        <v>62</v>
      </c>
      <c r="P152" s="35">
        <v>85</v>
      </c>
      <c r="Q152" s="36">
        <f t="shared" si="4"/>
        <v>52500</v>
      </c>
      <c r="R152" s="28"/>
      <c r="S152" s="28"/>
      <c r="T152" s="39"/>
    </row>
    <row r="153" spans="2:20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33">
        <f>--($O$3:$O$232='환불표 ver.1'!$H$5)*($P$3:$P$232='환불표 ver.1'!$J$5)</f>
        <v>0</v>
      </c>
      <c r="O153" s="34" t="s">
        <v>62</v>
      </c>
      <c r="P153" s="35">
        <v>86</v>
      </c>
      <c r="Q153" s="36">
        <f t="shared" si="4"/>
        <v>51000</v>
      </c>
      <c r="R153" s="28"/>
      <c r="S153" s="28"/>
      <c r="T153" s="39"/>
    </row>
    <row r="154" spans="2:20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33">
        <f>--($O$3:$O$232='환불표 ver.1'!$H$5)*($P$3:$P$232='환불표 ver.1'!$J$5)</f>
        <v>0</v>
      </c>
      <c r="O154" s="34" t="s">
        <v>62</v>
      </c>
      <c r="P154" s="35">
        <v>87</v>
      </c>
      <c r="Q154" s="36">
        <f t="shared" si="4"/>
        <v>49500</v>
      </c>
      <c r="R154" s="28"/>
      <c r="S154" s="28"/>
      <c r="T154" s="39"/>
    </row>
    <row r="155" spans="2:20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33">
        <f>--($O$3:$O$232='환불표 ver.1'!$H$5)*($P$3:$P$232='환불표 ver.1'!$J$5)</f>
        <v>0</v>
      </c>
      <c r="O155" s="34" t="s">
        <v>62</v>
      </c>
      <c r="P155" s="35">
        <v>88</v>
      </c>
      <c r="Q155" s="36">
        <f t="shared" si="4"/>
        <v>48000</v>
      </c>
      <c r="R155" s="28"/>
      <c r="S155" s="28"/>
      <c r="T155" s="39"/>
    </row>
    <row r="156" spans="2:20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33">
        <f>--($O$3:$O$232='환불표 ver.1'!$H$5)*($P$3:$P$232='환불표 ver.1'!$J$5)</f>
        <v>0</v>
      </c>
      <c r="O156" s="34" t="s">
        <v>62</v>
      </c>
      <c r="P156" s="35">
        <v>89</v>
      </c>
      <c r="Q156" s="36">
        <f t="shared" si="4"/>
        <v>46500</v>
      </c>
      <c r="R156" s="28"/>
      <c r="S156" s="28"/>
      <c r="T156" s="39"/>
    </row>
    <row r="157" spans="2:20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33">
        <f>--($O$3:$O$232='환불표 ver.1'!$H$5)*($P$3:$P$232='환불표 ver.1'!$J$5)</f>
        <v>0</v>
      </c>
      <c r="O157" s="34" t="s">
        <v>62</v>
      </c>
      <c r="P157" s="35">
        <v>90</v>
      </c>
      <c r="Q157" s="36">
        <f t="shared" si="4"/>
        <v>45000</v>
      </c>
      <c r="R157" s="28"/>
      <c r="S157" s="28"/>
      <c r="T157" s="39"/>
    </row>
    <row r="158" spans="2:20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33">
        <f>--($O$3:$O$232='환불표 ver.1'!$H$5)*($P$3:$P$232='환불표 ver.1'!$J$5)</f>
        <v>0</v>
      </c>
      <c r="O158" s="34" t="s">
        <v>62</v>
      </c>
      <c r="P158" s="35">
        <v>91</v>
      </c>
      <c r="Q158" s="36">
        <f t="shared" si="4"/>
        <v>43500</v>
      </c>
      <c r="R158" s="28"/>
      <c r="S158" s="28"/>
      <c r="T158" s="39"/>
    </row>
    <row r="159" spans="2:20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33">
        <f>--($O$3:$O$232='환불표 ver.1'!$H$5)*($P$3:$P$232='환불표 ver.1'!$J$5)</f>
        <v>0</v>
      </c>
      <c r="O159" s="34" t="s">
        <v>62</v>
      </c>
      <c r="P159" s="35">
        <v>92</v>
      </c>
      <c r="Q159" s="36">
        <f t="shared" si="4"/>
        <v>42000</v>
      </c>
      <c r="R159" s="28"/>
      <c r="S159" s="28"/>
      <c r="T159" s="39"/>
    </row>
    <row r="160" spans="2:20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33">
        <f>--($O$3:$O$232='환불표 ver.1'!$H$5)*($P$3:$P$232='환불표 ver.1'!$J$5)</f>
        <v>0</v>
      </c>
      <c r="O160" s="34" t="s">
        <v>62</v>
      </c>
      <c r="P160" s="35">
        <v>93</v>
      </c>
      <c r="Q160" s="36">
        <f t="shared" si="4"/>
        <v>40500</v>
      </c>
      <c r="R160" s="28"/>
      <c r="S160" s="28"/>
      <c r="T160" s="39"/>
    </row>
    <row r="161" spans="2:20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33">
        <f>--($O$3:$O$232='환불표 ver.1'!$H$5)*($P$3:$P$232='환불표 ver.1'!$J$5)</f>
        <v>0</v>
      </c>
      <c r="O161" s="34" t="s">
        <v>62</v>
      </c>
      <c r="P161" s="35">
        <v>94</v>
      </c>
      <c r="Q161" s="36">
        <f t="shared" si="4"/>
        <v>39000</v>
      </c>
      <c r="R161" s="28"/>
      <c r="S161" s="28"/>
      <c r="T161" s="39"/>
    </row>
    <row r="162" spans="2:20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33">
        <f>--($O$3:$O$232='환불표 ver.1'!$H$5)*($P$3:$P$232='환불표 ver.1'!$J$5)</f>
        <v>0</v>
      </c>
      <c r="O162" s="34" t="s">
        <v>62</v>
      </c>
      <c r="P162" s="35">
        <v>95</v>
      </c>
      <c r="Q162" s="36">
        <f t="shared" si="4"/>
        <v>37500</v>
      </c>
      <c r="R162" s="28"/>
      <c r="S162" s="28"/>
      <c r="T162" s="39"/>
    </row>
    <row r="163" spans="2:20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33">
        <f>--($O$3:$O$232='환불표 ver.1'!$H$5)*($P$3:$P$232='환불표 ver.1'!$J$5)</f>
        <v>0</v>
      </c>
      <c r="O163" s="34" t="s">
        <v>62</v>
      </c>
      <c r="P163" s="35">
        <v>96</v>
      </c>
      <c r="Q163" s="36">
        <f t="shared" si="4"/>
        <v>36000</v>
      </c>
      <c r="R163" s="28"/>
      <c r="S163" s="28"/>
      <c r="T163" s="39"/>
    </row>
    <row r="164" spans="2:20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33">
        <f>--($O$3:$O$232='환불표 ver.1'!$H$5)*($P$3:$P$232='환불표 ver.1'!$J$5)</f>
        <v>0</v>
      </c>
      <c r="O164" s="34" t="s">
        <v>62</v>
      </c>
      <c r="P164" s="35">
        <v>97</v>
      </c>
      <c r="Q164" s="36">
        <f t="shared" ref="Q164:Q186" si="5">Q163-1500</f>
        <v>34500</v>
      </c>
      <c r="R164" s="28"/>
      <c r="S164" s="28"/>
      <c r="T164" s="39"/>
    </row>
    <row r="165" spans="2:20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33">
        <f>--($O$3:$O$232='환불표 ver.1'!$H$5)*($P$3:$P$232='환불표 ver.1'!$J$5)</f>
        <v>0</v>
      </c>
      <c r="O165" s="34" t="s">
        <v>62</v>
      </c>
      <c r="P165" s="35">
        <v>98</v>
      </c>
      <c r="Q165" s="36">
        <f t="shared" si="5"/>
        <v>33000</v>
      </c>
      <c r="R165" s="28"/>
      <c r="S165" s="28"/>
      <c r="T165" s="39"/>
    </row>
    <row r="166" spans="2:20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33">
        <f>--($O$3:$O$232='환불표 ver.1'!$H$5)*($P$3:$P$232='환불표 ver.1'!$J$5)</f>
        <v>0</v>
      </c>
      <c r="O166" s="34" t="s">
        <v>62</v>
      </c>
      <c r="P166" s="35">
        <v>99</v>
      </c>
      <c r="Q166" s="36">
        <f t="shared" si="5"/>
        <v>31500</v>
      </c>
      <c r="R166" s="28"/>
      <c r="S166" s="28"/>
      <c r="T166" s="39"/>
    </row>
    <row r="167" spans="2:20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33">
        <f>--($O$3:$O$232='환불표 ver.1'!$H$5)*($P$3:$P$232='환불표 ver.1'!$J$5)</f>
        <v>0</v>
      </c>
      <c r="O167" s="34" t="s">
        <v>62</v>
      </c>
      <c r="P167" s="35">
        <v>100</v>
      </c>
      <c r="Q167" s="36">
        <f t="shared" si="5"/>
        <v>30000</v>
      </c>
      <c r="R167" s="28"/>
      <c r="S167" s="28"/>
      <c r="T167" s="39"/>
    </row>
    <row r="168" spans="2:20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33">
        <f>--($O$3:$O$232='환불표 ver.1'!$H$5)*($P$3:$P$232='환불표 ver.1'!$J$5)</f>
        <v>0</v>
      </c>
      <c r="O168" s="34" t="s">
        <v>62</v>
      </c>
      <c r="P168" s="35">
        <v>101</v>
      </c>
      <c r="Q168" s="36">
        <f t="shared" si="5"/>
        <v>28500</v>
      </c>
      <c r="R168" s="28"/>
      <c r="S168" s="28"/>
      <c r="T168" s="39"/>
    </row>
    <row r="169" spans="2:20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33">
        <f>--($O$3:$O$232='환불표 ver.1'!$H$5)*($P$3:$P$232='환불표 ver.1'!$J$5)</f>
        <v>0</v>
      </c>
      <c r="O169" s="34" t="s">
        <v>62</v>
      </c>
      <c r="P169" s="35">
        <v>102</v>
      </c>
      <c r="Q169" s="36">
        <f t="shared" si="5"/>
        <v>27000</v>
      </c>
      <c r="R169" s="28"/>
      <c r="S169" s="28"/>
      <c r="T169" s="39"/>
    </row>
    <row r="170" spans="2:20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33">
        <f>--($O$3:$O$232='환불표 ver.1'!$H$5)*($P$3:$P$232='환불표 ver.1'!$J$5)</f>
        <v>0</v>
      </c>
      <c r="O170" s="34" t="s">
        <v>62</v>
      </c>
      <c r="P170" s="35">
        <v>103</v>
      </c>
      <c r="Q170" s="36">
        <f t="shared" si="5"/>
        <v>25500</v>
      </c>
      <c r="R170" s="28"/>
      <c r="S170" s="28"/>
      <c r="T170" s="39"/>
    </row>
    <row r="171" spans="2:20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33">
        <f>--($O$3:$O$232='환불표 ver.1'!$H$5)*($P$3:$P$232='환불표 ver.1'!$J$5)</f>
        <v>0</v>
      </c>
      <c r="O171" s="34" t="s">
        <v>62</v>
      </c>
      <c r="P171" s="35">
        <v>104</v>
      </c>
      <c r="Q171" s="36">
        <f t="shared" si="5"/>
        <v>24000</v>
      </c>
      <c r="R171" s="28"/>
      <c r="S171" s="28"/>
      <c r="T171" s="39"/>
    </row>
    <row r="172" spans="2:20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33">
        <f>--($O$3:$O$232='환불표 ver.1'!$H$5)*($P$3:$P$232='환불표 ver.1'!$J$5)</f>
        <v>0</v>
      </c>
      <c r="O172" s="34" t="s">
        <v>62</v>
      </c>
      <c r="P172" s="35">
        <v>105</v>
      </c>
      <c r="Q172" s="36">
        <f t="shared" si="5"/>
        <v>22500</v>
      </c>
      <c r="R172" s="28"/>
      <c r="S172" s="28"/>
      <c r="T172" s="39"/>
    </row>
    <row r="173" spans="2:20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33">
        <f>--($O$3:$O$232='환불표 ver.1'!$H$5)*($P$3:$P$232='환불표 ver.1'!$J$5)</f>
        <v>0</v>
      </c>
      <c r="O173" s="34" t="s">
        <v>62</v>
      </c>
      <c r="P173" s="35">
        <v>106</v>
      </c>
      <c r="Q173" s="36">
        <f t="shared" si="5"/>
        <v>21000</v>
      </c>
      <c r="R173" s="28"/>
      <c r="S173" s="28"/>
      <c r="T173" s="39"/>
    </row>
    <row r="174" spans="2:20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33">
        <f>--($O$3:$O$232='환불표 ver.1'!$H$5)*($P$3:$P$232='환불표 ver.1'!$J$5)</f>
        <v>0</v>
      </c>
      <c r="O174" s="34" t="s">
        <v>62</v>
      </c>
      <c r="P174" s="35">
        <v>107</v>
      </c>
      <c r="Q174" s="36">
        <f t="shared" si="5"/>
        <v>19500</v>
      </c>
      <c r="R174" s="28"/>
      <c r="S174" s="28"/>
      <c r="T174" s="39"/>
    </row>
    <row r="175" spans="2:20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33">
        <f>--($O$3:$O$232='환불표 ver.1'!$H$5)*($P$3:$P$232='환불표 ver.1'!$J$5)</f>
        <v>0</v>
      </c>
      <c r="O175" s="34" t="s">
        <v>62</v>
      </c>
      <c r="P175" s="35">
        <v>108</v>
      </c>
      <c r="Q175" s="36">
        <f t="shared" si="5"/>
        <v>18000</v>
      </c>
      <c r="R175" s="28"/>
      <c r="S175" s="28"/>
      <c r="T175" s="39"/>
    </row>
    <row r="176" spans="2:20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33">
        <f>--($O$3:$O$232='환불표 ver.1'!$H$5)*($P$3:$P$232='환불표 ver.1'!$J$5)</f>
        <v>0</v>
      </c>
      <c r="O176" s="34" t="s">
        <v>62</v>
      </c>
      <c r="P176" s="35">
        <v>109</v>
      </c>
      <c r="Q176" s="36">
        <f t="shared" si="5"/>
        <v>16500</v>
      </c>
      <c r="R176" s="28"/>
      <c r="S176" s="28"/>
      <c r="T176" s="39"/>
    </row>
    <row r="177" spans="2:20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33">
        <f>--($O$3:$O$232='환불표 ver.1'!$H$5)*($P$3:$P$232='환불표 ver.1'!$J$5)</f>
        <v>0</v>
      </c>
      <c r="O177" s="34" t="s">
        <v>62</v>
      </c>
      <c r="P177" s="35">
        <v>110</v>
      </c>
      <c r="Q177" s="36">
        <f t="shared" si="5"/>
        <v>15000</v>
      </c>
      <c r="R177" s="28"/>
      <c r="S177" s="28"/>
      <c r="T177" s="39"/>
    </row>
    <row r="178" spans="2:20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33">
        <f>--($O$3:$O$232='환불표 ver.1'!$H$5)*($P$3:$P$232='환불표 ver.1'!$J$5)</f>
        <v>0</v>
      </c>
      <c r="O178" s="34" t="s">
        <v>62</v>
      </c>
      <c r="P178" s="35">
        <v>111</v>
      </c>
      <c r="Q178" s="36">
        <f t="shared" si="5"/>
        <v>13500</v>
      </c>
      <c r="R178" s="28"/>
      <c r="S178" s="28"/>
      <c r="T178" s="39"/>
    </row>
    <row r="179" spans="2:20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33">
        <f>--($O$3:$O$232='환불표 ver.1'!$H$5)*($P$3:$P$232='환불표 ver.1'!$J$5)</f>
        <v>0</v>
      </c>
      <c r="O179" s="34" t="s">
        <v>62</v>
      </c>
      <c r="P179" s="35">
        <v>112</v>
      </c>
      <c r="Q179" s="36">
        <f t="shared" si="5"/>
        <v>12000</v>
      </c>
      <c r="R179" s="28"/>
      <c r="S179" s="28"/>
      <c r="T179" s="39"/>
    </row>
    <row r="180" spans="2:20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33">
        <f>--($O$3:$O$232='환불표 ver.1'!$H$5)*($P$3:$P$232='환불표 ver.1'!$J$5)</f>
        <v>0</v>
      </c>
      <c r="O180" s="34" t="s">
        <v>62</v>
      </c>
      <c r="P180" s="35">
        <v>113</v>
      </c>
      <c r="Q180" s="36">
        <f t="shared" si="5"/>
        <v>10500</v>
      </c>
      <c r="R180" s="28"/>
      <c r="S180" s="28"/>
      <c r="T180" s="39"/>
    </row>
    <row r="181" spans="2:20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33">
        <f>--($O$3:$O$232='환불표 ver.1'!$H$5)*($P$3:$P$232='환불표 ver.1'!$J$5)</f>
        <v>0</v>
      </c>
      <c r="O181" s="34" t="s">
        <v>62</v>
      </c>
      <c r="P181" s="35">
        <v>114</v>
      </c>
      <c r="Q181" s="36">
        <f t="shared" si="5"/>
        <v>9000</v>
      </c>
      <c r="R181" s="28"/>
      <c r="S181" s="28"/>
      <c r="T181" s="39"/>
    </row>
    <row r="182" spans="2:20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33">
        <f>--($O$3:$O$232='환불표 ver.1'!$H$5)*($P$3:$P$232='환불표 ver.1'!$J$5)</f>
        <v>0</v>
      </c>
      <c r="O182" s="34" t="s">
        <v>62</v>
      </c>
      <c r="P182" s="35">
        <v>115</v>
      </c>
      <c r="Q182" s="36">
        <f t="shared" si="5"/>
        <v>7500</v>
      </c>
      <c r="R182" s="28"/>
      <c r="S182" s="28"/>
      <c r="T182" s="39"/>
    </row>
    <row r="183" spans="2:20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33">
        <f>--($O$3:$O$232='환불표 ver.1'!$H$5)*($P$3:$P$232='환불표 ver.1'!$J$5)</f>
        <v>0</v>
      </c>
      <c r="O183" s="34" t="s">
        <v>62</v>
      </c>
      <c r="P183" s="35">
        <v>116</v>
      </c>
      <c r="Q183" s="36">
        <f t="shared" si="5"/>
        <v>6000</v>
      </c>
      <c r="R183" s="28"/>
      <c r="S183" s="28"/>
      <c r="T183" s="39"/>
    </row>
    <row r="184" spans="2:20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33">
        <f>--($O$3:$O$232='환불표 ver.1'!$H$5)*($P$3:$P$232='환불표 ver.1'!$J$5)</f>
        <v>0</v>
      </c>
      <c r="O184" s="34" t="s">
        <v>62</v>
      </c>
      <c r="P184" s="35">
        <v>117</v>
      </c>
      <c r="Q184" s="36">
        <f t="shared" si="5"/>
        <v>4500</v>
      </c>
      <c r="R184" s="28"/>
      <c r="S184" s="28"/>
      <c r="T184" s="39"/>
    </row>
    <row r="185" spans="2:20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33">
        <f>--($O$3:$O$232='환불표 ver.1'!$H$5)*($P$3:$P$232='환불표 ver.1'!$J$5)</f>
        <v>0</v>
      </c>
      <c r="O185" s="34" t="s">
        <v>62</v>
      </c>
      <c r="P185" s="35">
        <v>118</v>
      </c>
      <c r="Q185" s="36">
        <f t="shared" si="5"/>
        <v>3000</v>
      </c>
      <c r="R185" s="28"/>
      <c r="S185" s="28"/>
      <c r="T185" s="39"/>
    </row>
    <row r="186" spans="2:20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33">
        <f>--($O$3:$O$232='환불표 ver.1'!$H$5)*($P$3:$P$232='환불표 ver.1'!$J$5)</f>
        <v>0</v>
      </c>
      <c r="O186" s="43" t="s">
        <v>62</v>
      </c>
      <c r="P186" s="44">
        <v>119</v>
      </c>
      <c r="Q186" s="45">
        <f t="shared" si="5"/>
        <v>1500</v>
      </c>
      <c r="R186" s="28"/>
      <c r="S186" s="28"/>
      <c r="T186" s="39"/>
    </row>
    <row r="187" spans="2:20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33">
        <f>--($O$3:$O$232='환불표 ver.1'!$H$5)*($P$3:$P$232='환불표 ver.1'!$J$5)</f>
        <v>0</v>
      </c>
      <c r="O187" s="34" t="s">
        <v>63</v>
      </c>
      <c r="P187" s="35">
        <v>0</v>
      </c>
      <c r="Q187" s="36">
        <v>69000</v>
      </c>
      <c r="R187" s="28"/>
      <c r="S187" s="28"/>
      <c r="T187" s="39"/>
    </row>
    <row r="188" spans="2:20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33">
        <f>--($O$3:$O$232='환불표 ver.1'!$H$5)*($P$3:$P$232='환불표 ver.1'!$J$5)</f>
        <v>0</v>
      </c>
      <c r="O188" s="34" t="s">
        <v>63</v>
      </c>
      <c r="P188" s="35">
        <v>1</v>
      </c>
      <c r="Q188" s="36">
        <f t="shared" ref="Q188:Q232" si="6">Q187-1500</f>
        <v>67500</v>
      </c>
      <c r="R188" s="28"/>
      <c r="S188" s="28"/>
      <c r="T188" s="39"/>
    </row>
    <row r="189" spans="2:20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33">
        <f>--($O$3:$O$232='환불표 ver.1'!$H$5)*($P$3:$P$232='환불표 ver.1'!$J$5)</f>
        <v>0</v>
      </c>
      <c r="O189" s="34" t="s">
        <v>63</v>
      </c>
      <c r="P189" s="35">
        <v>2</v>
      </c>
      <c r="Q189" s="36">
        <f t="shared" si="6"/>
        <v>66000</v>
      </c>
      <c r="R189" s="28"/>
      <c r="S189" s="28"/>
      <c r="T189" s="39"/>
    </row>
    <row r="190" spans="2:20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33">
        <f>--($O$3:$O$232='환불표 ver.1'!$H$5)*($P$3:$P$232='환불표 ver.1'!$J$5)</f>
        <v>0</v>
      </c>
      <c r="O190" s="34" t="s">
        <v>63</v>
      </c>
      <c r="P190" s="35">
        <v>3</v>
      </c>
      <c r="Q190" s="36">
        <f t="shared" si="6"/>
        <v>64500</v>
      </c>
      <c r="R190" s="28"/>
      <c r="S190" s="28"/>
      <c r="T190" s="39"/>
    </row>
    <row r="191" spans="2:20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33">
        <f>--($O$3:$O$232='환불표 ver.1'!$H$5)*($P$3:$P$232='환불표 ver.1'!$J$5)</f>
        <v>0</v>
      </c>
      <c r="O191" s="34" t="s">
        <v>63</v>
      </c>
      <c r="P191" s="35">
        <v>4</v>
      </c>
      <c r="Q191" s="36">
        <f t="shared" si="6"/>
        <v>63000</v>
      </c>
      <c r="R191" s="28"/>
      <c r="S191" s="28"/>
      <c r="T191" s="39"/>
    </row>
    <row r="192" spans="2:20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33">
        <f>--($O$3:$O$232='환불표 ver.1'!$H$5)*($P$3:$P$232='환불표 ver.1'!$J$5)</f>
        <v>0</v>
      </c>
      <c r="O192" s="34" t="s">
        <v>63</v>
      </c>
      <c r="P192" s="35">
        <v>5</v>
      </c>
      <c r="Q192" s="36">
        <f t="shared" si="6"/>
        <v>61500</v>
      </c>
      <c r="R192" s="28"/>
      <c r="S192" s="28"/>
      <c r="T192" s="39"/>
    </row>
    <row r="193" spans="2:20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33">
        <f>--($O$3:$O$232='환불표 ver.1'!$H$5)*($P$3:$P$232='환불표 ver.1'!$J$5)</f>
        <v>0</v>
      </c>
      <c r="O193" s="34" t="s">
        <v>63</v>
      </c>
      <c r="P193" s="35">
        <v>6</v>
      </c>
      <c r="Q193" s="36">
        <f t="shared" si="6"/>
        <v>60000</v>
      </c>
      <c r="R193" s="28"/>
      <c r="S193" s="28"/>
      <c r="T193" s="39"/>
    </row>
    <row r="194" spans="2:20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33">
        <f>--($O$3:$O$232='환불표 ver.1'!$H$5)*($P$3:$P$232='환불표 ver.1'!$J$5)</f>
        <v>0</v>
      </c>
      <c r="O194" s="34" t="s">
        <v>63</v>
      </c>
      <c r="P194" s="35">
        <v>7</v>
      </c>
      <c r="Q194" s="36">
        <f t="shared" si="6"/>
        <v>58500</v>
      </c>
      <c r="R194" s="28"/>
      <c r="S194" s="28"/>
      <c r="T194" s="39"/>
    </row>
    <row r="195" spans="2:20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33">
        <f>--($O$3:$O$232='환불표 ver.1'!$H$5)*($P$3:$P$232='환불표 ver.1'!$J$5)</f>
        <v>0</v>
      </c>
      <c r="O195" s="34" t="s">
        <v>63</v>
      </c>
      <c r="P195" s="35">
        <v>8</v>
      </c>
      <c r="Q195" s="36">
        <f t="shared" si="6"/>
        <v>57000</v>
      </c>
      <c r="R195" s="28"/>
      <c r="S195" s="28"/>
      <c r="T195" s="39"/>
    </row>
    <row r="196" spans="2:20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33">
        <f>--($O$3:$O$232='환불표 ver.1'!$H$5)*($P$3:$P$232='환불표 ver.1'!$J$5)</f>
        <v>1</v>
      </c>
      <c r="O196" s="34" t="s">
        <v>63</v>
      </c>
      <c r="P196" s="35">
        <v>9</v>
      </c>
      <c r="Q196" s="36">
        <f t="shared" si="6"/>
        <v>55500</v>
      </c>
      <c r="R196" s="28"/>
      <c r="S196" s="28"/>
      <c r="T196" s="39"/>
    </row>
    <row r="197" spans="2:20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33">
        <f>--($O$3:$O$232='환불표 ver.1'!$H$5)*($P$3:$P$232='환불표 ver.1'!$J$5)</f>
        <v>0</v>
      </c>
      <c r="O197" s="34" t="s">
        <v>63</v>
      </c>
      <c r="P197" s="35">
        <v>10</v>
      </c>
      <c r="Q197" s="36">
        <f t="shared" si="6"/>
        <v>54000</v>
      </c>
      <c r="R197" s="28"/>
      <c r="S197" s="28"/>
      <c r="T197" s="39"/>
    </row>
    <row r="198" spans="2:20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33">
        <f>--($O$3:$O$232='환불표 ver.1'!$H$5)*($P$3:$P$232='환불표 ver.1'!$J$5)</f>
        <v>0</v>
      </c>
      <c r="O198" s="34" t="s">
        <v>63</v>
      </c>
      <c r="P198" s="35">
        <v>11</v>
      </c>
      <c r="Q198" s="36">
        <f t="shared" si="6"/>
        <v>52500</v>
      </c>
      <c r="R198" s="28"/>
      <c r="S198" s="28"/>
      <c r="T198" s="39"/>
    </row>
    <row r="199" spans="2:20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33">
        <f>--($O$3:$O$232='환불표 ver.1'!$H$5)*($P$3:$P$232='환불표 ver.1'!$J$5)</f>
        <v>0</v>
      </c>
      <c r="O199" s="34" t="s">
        <v>63</v>
      </c>
      <c r="P199" s="35">
        <v>12</v>
      </c>
      <c r="Q199" s="36">
        <f t="shared" si="6"/>
        <v>51000</v>
      </c>
      <c r="R199" s="28"/>
      <c r="S199" s="28"/>
      <c r="T199" s="39"/>
    </row>
    <row r="200" spans="2:20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33">
        <f>--($O$3:$O$232='환불표 ver.1'!$H$5)*($P$3:$P$232='환불표 ver.1'!$J$5)</f>
        <v>0</v>
      </c>
      <c r="O200" s="34" t="s">
        <v>63</v>
      </c>
      <c r="P200" s="35">
        <v>13</v>
      </c>
      <c r="Q200" s="36">
        <f t="shared" si="6"/>
        <v>49500</v>
      </c>
      <c r="R200" s="28"/>
      <c r="S200" s="28"/>
      <c r="T200" s="39"/>
    </row>
    <row r="201" spans="2:20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33">
        <f>--($O$3:$O$232='환불표 ver.1'!$H$5)*($P$3:$P$232='환불표 ver.1'!$J$5)</f>
        <v>0</v>
      </c>
      <c r="O201" s="34" t="s">
        <v>63</v>
      </c>
      <c r="P201" s="35">
        <v>14</v>
      </c>
      <c r="Q201" s="36">
        <f t="shared" si="6"/>
        <v>48000</v>
      </c>
      <c r="R201" s="28"/>
      <c r="S201" s="28"/>
      <c r="T201" s="39"/>
    </row>
    <row r="202" spans="2:20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33">
        <f>--($O$3:$O$232='환불표 ver.1'!$H$5)*($P$3:$P$232='환불표 ver.1'!$J$5)</f>
        <v>0</v>
      </c>
      <c r="O202" s="34" t="s">
        <v>63</v>
      </c>
      <c r="P202" s="35">
        <v>15</v>
      </c>
      <c r="Q202" s="36">
        <f t="shared" si="6"/>
        <v>46500</v>
      </c>
      <c r="R202" s="28"/>
      <c r="S202" s="28"/>
      <c r="T202" s="39"/>
    </row>
    <row r="203" spans="2:20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33">
        <f>--($O$3:$O$232='환불표 ver.1'!$H$5)*($P$3:$P$232='환불표 ver.1'!$J$5)</f>
        <v>0</v>
      </c>
      <c r="O203" s="34" t="s">
        <v>63</v>
      </c>
      <c r="P203" s="35">
        <v>16</v>
      </c>
      <c r="Q203" s="36">
        <f t="shared" si="6"/>
        <v>45000</v>
      </c>
      <c r="R203" s="28"/>
      <c r="S203" s="28"/>
      <c r="T203" s="39"/>
    </row>
    <row r="204" spans="2:20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33">
        <f>--($O$3:$O$232='환불표 ver.1'!$H$5)*($P$3:$P$232='환불표 ver.1'!$J$5)</f>
        <v>0</v>
      </c>
      <c r="O204" s="34" t="s">
        <v>63</v>
      </c>
      <c r="P204" s="35">
        <v>17</v>
      </c>
      <c r="Q204" s="36">
        <f t="shared" si="6"/>
        <v>43500</v>
      </c>
      <c r="R204" s="28"/>
      <c r="S204" s="28"/>
      <c r="T204" s="39"/>
    </row>
    <row r="205" spans="2:20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33">
        <f>--($O$3:$O$232='환불표 ver.1'!$H$5)*($P$3:$P$232='환불표 ver.1'!$J$5)</f>
        <v>0</v>
      </c>
      <c r="O205" s="34" t="s">
        <v>63</v>
      </c>
      <c r="P205" s="35">
        <v>18</v>
      </c>
      <c r="Q205" s="36">
        <f t="shared" si="6"/>
        <v>42000</v>
      </c>
      <c r="R205" s="28"/>
      <c r="S205" s="28"/>
      <c r="T205" s="39"/>
    </row>
    <row r="206" spans="2:20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33">
        <f>--($O$3:$O$232='환불표 ver.1'!$H$5)*($P$3:$P$232='환불표 ver.1'!$J$5)</f>
        <v>0</v>
      </c>
      <c r="O206" s="34" t="s">
        <v>63</v>
      </c>
      <c r="P206" s="35">
        <v>19</v>
      </c>
      <c r="Q206" s="36">
        <f t="shared" si="6"/>
        <v>40500</v>
      </c>
      <c r="R206" s="28"/>
      <c r="S206" s="28"/>
      <c r="T206" s="39"/>
    </row>
    <row r="207" spans="2:20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33">
        <f>--($O$3:$O$232='환불표 ver.1'!$H$5)*($P$3:$P$232='환불표 ver.1'!$J$5)</f>
        <v>0</v>
      </c>
      <c r="O207" s="34" t="s">
        <v>63</v>
      </c>
      <c r="P207" s="35">
        <v>20</v>
      </c>
      <c r="Q207" s="36">
        <f t="shared" si="6"/>
        <v>39000</v>
      </c>
      <c r="R207" s="28"/>
      <c r="S207" s="28"/>
      <c r="T207" s="39"/>
    </row>
    <row r="208" spans="2:20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33">
        <f>--($O$3:$O$232='환불표 ver.1'!$H$5)*($P$3:$P$232='환불표 ver.1'!$J$5)</f>
        <v>0</v>
      </c>
      <c r="O208" s="34" t="s">
        <v>63</v>
      </c>
      <c r="P208" s="35">
        <v>21</v>
      </c>
      <c r="Q208" s="36">
        <f t="shared" si="6"/>
        <v>37500</v>
      </c>
      <c r="R208" s="28"/>
      <c r="S208" s="28"/>
      <c r="T208" s="39"/>
    </row>
    <row r="209" spans="2:20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33">
        <f>--($O$3:$O$232='환불표 ver.1'!$H$5)*($P$3:$P$232='환불표 ver.1'!$J$5)</f>
        <v>0</v>
      </c>
      <c r="O209" s="34" t="s">
        <v>63</v>
      </c>
      <c r="P209" s="35">
        <v>22</v>
      </c>
      <c r="Q209" s="36">
        <f t="shared" si="6"/>
        <v>36000</v>
      </c>
      <c r="R209" s="28"/>
      <c r="S209" s="28"/>
      <c r="T209" s="39"/>
    </row>
    <row r="210" spans="2:20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33">
        <f>--($O$3:$O$232='환불표 ver.1'!$H$5)*($P$3:$P$232='환불표 ver.1'!$J$5)</f>
        <v>0</v>
      </c>
      <c r="O210" s="34" t="s">
        <v>63</v>
      </c>
      <c r="P210" s="35">
        <v>23</v>
      </c>
      <c r="Q210" s="36">
        <f t="shared" si="6"/>
        <v>34500</v>
      </c>
      <c r="R210" s="28"/>
      <c r="S210" s="28"/>
      <c r="T210" s="39"/>
    </row>
    <row r="211" spans="2:20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33">
        <f>--($O$3:$O$232='환불표 ver.1'!$H$5)*($P$3:$P$232='환불표 ver.1'!$J$5)</f>
        <v>0</v>
      </c>
      <c r="O211" s="34" t="s">
        <v>63</v>
      </c>
      <c r="P211" s="35">
        <v>24</v>
      </c>
      <c r="Q211" s="36">
        <f t="shared" si="6"/>
        <v>33000</v>
      </c>
      <c r="R211" s="28"/>
      <c r="S211" s="28"/>
      <c r="T211" s="39"/>
    </row>
    <row r="212" spans="2:20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33">
        <f>--($O$3:$O$232='환불표 ver.1'!$H$5)*($P$3:$P$232='환불표 ver.1'!$J$5)</f>
        <v>0</v>
      </c>
      <c r="O212" s="34" t="s">
        <v>63</v>
      </c>
      <c r="P212" s="35">
        <v>25</v>
      </c>
      <c r="Q212" s="36">
        <f t="shared" si="6"/>
        <v>31500</v>
      </c>
      <c r="R212" s="28"/>
      <c r="S212" s="28"/>
      <c r="T212" s="39"/>
    </row>
    <row r="213" spans="2:20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33">
        <f>--($O$3:$O$232='환불표 ver.1'!$H$5)*($P$3:$P$232='환불표 ver.1'!$J$5)</f>
        <v>0</v>
      </c>
      <c r="O213" s="34" t="s">
        <v>63</v>
      </c>
      <c r="P213" s="35">
        <v>26</v>
      </c>
      <c r="Q213" s="36">
        <f t="shared" si="6"/>
        <v>30000</v>
      </c>
      <c r="R213" s="28"/>
      <c r="S213" s="28"/>
      <c r="T213" s="39"/>
    </row>
    <row r="214" spans="2:20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33">
        <f>--($O$3:$O$232='환불표 ver.1'!$H$5)*($P$3:$P$232='환불표 ver.1'!$J$5)</f>
        <v>0</v>
      </c>
      <c r="O214" s="34" t="s">
        <v>63</v>
      </c>
      <c r="P214" s="35">
        <v>27</v>
      </c>
      <c r="Q214" s="36">
        <f t="shared" si="6"/>
        <v>28500</v>
      </c>
      <c r="R214" s="28"/>
      <c r="S214" s="28"/>
      <c r="T214" s="39"/>
    </row>
    <row r="215" spans="2:20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33">
        <f>--($O$3:$O$232='환불표 ver.1'!$H$5)*($P$3:$P$232='환불표 ver.1'!$J$5)</f>
        <v>0</v>
      </c>
      <c r="O215" s="34" t="s">
        <v>63</v>
      </c>
      <c r="P215" s="35">
        <v>28</v>
      </c>
      <c r="Q215" s="36">
        <f t="shared" si="6"/>
        <v>27000</v>
      </c>
      <c r="R215" s="28"/>
      <c r="S215" s="28"/>
      <c r="T215" s="39"/>
    </row>
    <row r="216" spans="2:20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33">
        <f>--($O$3:$O$232='환불표 ver.1'!$H$5)*($P$3:$P$232='환불표 ver.1'!$J$5)</f>
        <v>0</v>
      </c>
      <c r="O216" s="34" t="s">
        <v>63</v>
      </c>
      <c r="P216" s="35">
        <v>29</v>
      </c>
      <c r="Q216" s="36">
        <f t="shared" si="6"/>
        <v>25500</v>
      </c>
      <c r="R216" s="28"/>
      <c r="S216" s="28"/>
      <c r="T216" s="39"/>
    </row>
    <row r="217" spans="2:20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33">
        <f>--($O$3:$O$232='환불표 ver.1'!$H$5)*($P$3:$P$232='환불표 ver.1'!$J$5)</f>
        <v>0</v>
      </c>
      <c r="O217" s="34" t="s">
        <v>63</v>
      </c>
      <c r="P217" s="35">
        <v>30</v>
      </c>
      <c r="Q217" s="36">
        <f t="shared" si="6"/>
        <v>24000</v>
      </c>
      <c r="R217" s="28"/>
      <c r="S217" s="28"/>
      <c r="T217" s="39"/>
    </row>
    <row r="218" spans="2:20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33">
        <f>--($O$3:$O$232='환불표 ver.1'!$H$5)*($P$3:$P$232='환불표 ver.1'!$J$5)</f>
        <v>0</v>
      </c>
      <c r="O218" s="34" t="s">
        <v>63</v>
      </c>
      <c r="P218" s="35">
        <v>31</v>
      </c>
      <c r="Q218" s="36">
        <f t="shared" si="6"/>
        <v>22500</v>
      </c>
      <c r="R218" s="28"/>
      <c r="S218" s="28"/>
      <c r="T218" s="39"/>
    </row>
    <row r="219" spans="2:20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33">
        <f>--($O$3:$O$232='환불표 ver.1'!$H$5)*($P$3:$P$232='환불표 ver.1'!$J$5)</f>
        <v>0</v>
      </c>
      <c r="O219" s="34" t="s">
        <v>63</v>
      </c>
      <c r="P219" s="35">
        <v>32</v>
      </c>
      <c r="Q219" s="36">
        <f t="shared" si="6"/>
        <v>21000</v>
      </c>
      <c r="R219" s="28"/>
      <c r="S219" s="28"/>
      <c r="T219" s="39"/>
    </row>
    <row r="220" spans="2:20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33">
        <f>--($O$3:$O$232='환불표 ver.1'!$H$5)*($P$3:$P$232='환불표 ver.1'!$J$5)</f>
        <v>0</v>
      </c>
      <c r="O220" s="34" t="s">
        <v>63</v>
      </c>
      <c r="P220" s="35">
        <v>33</v>
      </c>
      <c r="Q220" s="36">
        <f t="shared" si="6"/>
        <v>19500</v>
      </c>
      <c r="R220" s="28"/>
      <c r="S220" s="28"/>
      <c r="T220" s="39"/>
    </row>
    <row r="221" spans="2:20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33">
        <f>--($O$3:$O$232='환불표 ver.1'!$H$5)*($P$3:$P$232='환불표 ver.1'!$J$5)</f>
        <v>0</v>
      </c>
      <c r="O221" s="34" t="s">
        <v>63</v>
      </c>
      <c r="P221" s="35">
        <v>34</v>
      </c>
      <c r="Q221" s="36">
        <f t="shared" si="6"/>
        <v>18000</v>
      </c>
      <c r="R221" s="28"/>
      <c r="S221" s="28"/>
      <c r="T221" s="39"/>
    </row>
    <row r="222" spans="2:20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33">
        <f>--($O$3:$O$232='환불표 ver.1'!$H$5)*($P$3:$P$232='환불표 ver.1'!$J$5)</f>
        <v>0</v>
      </c>
      <c r="O222" s="34" t="s">
        <v>63</v>
      </c>
      <c r="P222" s="35">
        <v>35</v>
      </c>
      <c r="Q222" s="36">
        <f t="shared" si="6"/>
        <v>16500</v>
      </c>
      <c r="R222" s="28"/>
      <c r="S222" s="28"/>
      <c r="T222" s="39"/>
    </row>
    <row r="223" spans="2:20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33">
        <f>--($O$3:$O$232='환불표 ver.1'!$H$5)*($P$3:$P$232='환불표 ver.1'!$J$5)</f>
        <v>0</v>
      </c>
      <c r="O223" s="34" t="s">
        <v>63</v>
      </c>
      <c r="P223" s="35">
        <v>36</v>
      </c>
      <c r="Q223" s="36">
        <f t="shared" si="6"/>
        <v>15000</v>
      </c>
      <c r="R223" s="28"/>
      <c r="S223" s="28"/>
      <c r="T223" s="39"/>
    </row>
    <row r="224" spans="2:20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33">
        <f>--($O$3:$O$232='환불표 ver.1'!$H$5)*($P$3:$P$232='환불표 ver.1'!$J$5)</f>
        <v>0</v>
      </c>
      <c r="O224" s="34" t="s">
        <v>63</v>
      </c>
      <c r="P224" s="35">
        <v>37</v>
      </c>
      <c r="Q224" s="36">
        <f t="shared" si="6"/>
        <v>13500</v>
      </c>
      <c r="R224" s="28"/>
      <c r="S224" s="28"/>
      <c r="T224" s="39"/>
    </row>
    <row r="225" spans="2:20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33">
        <f>--($O$3:$O$232='환불표 ver.1'!$H$5)*($P$3:$P$232='환불표 ver.1'!$J$5)</f>
        <v>0</v>
      </c>
      <c r="O225" s="34" t="s">
        <v>63</v>
      </c>
      <c r="P225" s="35">
        <v>38</v>
      </c>
      <c r="Q225" s="36">
        <f t="shared" si="6"/>
        <v>12000</v>
      </c>
      <c r="R225" s="28"/>
      <c r="S225" s="28"/>
      <c r="T225" s="39"/>
    </row>
    <row r="226" spans="2:20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33">
        <f>--($O$3:$O$232='환불표 ver.1'!$H$5)*($P$3:$P$232='환불표 ver.1'!$J$5)</f>
        <v>0</v>
      </c>
      <c r="O226" s="34" t="s">
        <v>63</v>
      </c>
      <c r="P226" s="35">
        <v>39</v>
      </c>
      <c r="Q226" s="36">
        <f t="shared" si="6"/>
        <v>10500</v>
      </c>
      <c r="R226" s="28"/>
      <c r="S226" s="28"/>
      <c r="T226" s="39"/>
    </row>
    <row r="227" spans="2:20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33">
        <f>--($O$3:$O$232='환불표 ver.1'!$H$5)*($P$3:$P$232='환불표 ver.1'!$J$5)</f>
        <v>0</v>
      </c>
      <c r="O227" s="34" t="s">
        <v>63</v>
      </c>
      <c r="P227" s="35">
        <v>40</v>
      </c>
      <c r="Q227" s="36">
        <f t="shared" si="6"/>
        <v>9000</v>
      </c>
      <c r="R227" s="28"/>
      <c r="S227" s="28"/>
      <c r="T227" s="39"/>
    </row>
    <row r="228" spans="2:20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33">
        <f>--($O$3:$O$232='환불표 ver.1'!$H$5)*($P$3:$P$232='환불표 ver.1'!$J$5)</f>
        <v>0</v>
      </c>
      <c r="O228" s="34" t="s">
        <v>63</v>
      </c>
      <c r="P228" s="35">
        <v>41</v>
      </c>
      <c r="Q228" s="36">
        <f t="shared" si="6"/>
        <v>7500</v>
      </c>
      <c r="R228" s="28"/>
      <c r="S228" s="28"/>
      <c r="T228" s="39"/>
    </row>
    <row r="229" spans="2:20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33">
        <f>--($O$3:$O$232='환불표 ver.1'!$H$5)*($P$3:$P$232='환불표 ver.1'!$J$5)</f>
        <v>0</v>
      </c>
      <c r="O229" s="34" t="s">
        <v>63</v>
      </c>
      <c r="P229" s="35">
        <v>42</v>
      </c>
      <c r="Q229" s="36">
        <f t="shared" si="6"/>
        <v>6000</v>
      </c>
      <c r="R229" s="28"/>
      <c r="S229" s="28"/>
      <c r="T229" s="39"/>
    </row>
    <row r="230" spans="2:20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33">
        <f>--($O$3:$O$232='환불표 ver.1'!$H$5)*($P$3:$P$232='환불표 ver.1'!$J$5)</f>
        <v>0</v>
      </c>
      <c r="O230" s="34" t="s">
        <v>63</v>
      </c>
      <c r="P230" s="35">
        <v>43</v>
      </c>
      <c r="Q230" s="36">
        <f t="shared" si="6"/>
        <v>4500</v>
      </c>
      <c r="R230" s="28"/>
      <c r="S230" s="28"/>
      <c r="T230" s="39"/>
    </row>
    <row r="231" spans="2:20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33">
        <f>--($O$3:$O$232='환불표 ver.1'!$H$5)*($P$3:$P$232='환불표 ver.1'!$J$5)</f>
        <v>0</v>
      </c>
      <c r="O231" s="34" t="s">
        <v>63</v>
      </c>
      <c r="P231" s="35">
        <v>44</v>
      </c>
      <c r="Q231" s="36">
        <f t="shared" si="6"/>
        <v>3000</v>
      </c>
      <c r="R231" s="28"/>
      <c r="S231" s="28"/>
      <c r="T231" s="39"/>
    </row>
    <row r="232" spans="2:20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42">
        <f>--($O$3:$O$232='환불표 ver.1'!$H$5)*($P$3:$P$232='환불표 ver.1'!$J$5)</f>
        <v>0</v>
      </c>
      <c r="O232" s="43" t="s">
        <v>63</v>
      </c>
      <c r="P232" s="44">
        <v>45</v>
      </c>
      <c r="Q232" s="45">
        <f t="shared" si="6"/>
        <v>1500</v>
      </c>
      <c r="R232" s="49"/>
      <c r="S232" s="49"/>
      <c r="T232" s="50"/>
    </row>
    <row r="233" spans="2:20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</row>
    <row r="234" spans="2:20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</row>
    <row r="235" spans="2:20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</row>
    <row r="236" spans="2:20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</row>
    <row r="237" spans="2:20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</row>
    <row r="238" spans="2:20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</row>
    <row r="239" spans="2:20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</row>
    <row r="240" spans="2:20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</row>
    <row r="241" spans="2:20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</row>
    <row r="242" spans="2:20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</row>
    <row r="243" spans="2:20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</row>
    <row r="244" spans="2:20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</row>
    <row r="245" spans="2:20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</row>
    <row r="246" spans="2:20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</row>
    <row r="247" spans="2:20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</row>
    <row r="248" spans="2:20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</row>
    <row r="249" spans="2:20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</row>
    <row r="250" spans="2:20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</row>
    <row r="251" spans="2:20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</row>
    <row r="252" spans="2:20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</row>
    <row r="253" spans="2:20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</row>
    <row r="254" spans="2:20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</row>
    <row r="255" spans="2:20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</row>
    <row r="256" spans="2:20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</row>
    <row r="257" spans="2:20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</row>
    <row r="258" spans="2:20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</row>
    <row r="259" spans="2:20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</row>
    <row r="260" spans="2:20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</row>
    <row r="261" spans="2:20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</row>
    <row r="262" spans="2:20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</row>
    <row r="263" spans="2:20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</row>
    <row r="264" spans="2:20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</row>
    <row r="265" spans="2:20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</row>
    <row r="266" spans="2:20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</row>
    <row r="267" spans="2:20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</row>
    <row r="268" spans="2:20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</row>
    <row r="269" spans="2:20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</row>
    <row r="270" spans="2:20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</row>
    <row r="271" spans="2:20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</row>
    <row r="272" spans="2:20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</row>
    <row r="273" spans="2:20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</row>
    <row r="274" spans="2:20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</row>
    <row r="275" spans="2:20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</row>
    <row r="276" spans="2:20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</row>
    <row r="277" spans="2:20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</row>
    <row r="278" spans="2:20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</row>
    <row r="279" spans="2:20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</row>
    <row r="280" spans="2:20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</row>
    <row r="281" spans="2:20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</row>
    <row r="282" spans="2:20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</row>
    <row r="283" spans="2:20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</row>
    <row r="284" spans="2:20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</row>
    <row r="285" spans="2:20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</row>
    <row r="286" spans="2:20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</row>
    <row r="287" spans="2:20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</row>
    <row r="288" spans="2:20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</row>
    <row r="289" spans="2:20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</row>
    <row r="290" spans="2:20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</row>
    <row r="291" spans="2:20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</row>
    <row r="292" spans="2:20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</row>
    <row r="293" spans="2:20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</row>
    <row r="294" spans="2:20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</row>
  </sheetData>
  <sheetProtection sheet="1" objects="1" scenarios="1" formatCells="0" formatColumns="0" formatRows="0"/>
  <mergeCells count="5">
    <mergeCell ref="I3:L3"/>
    <mergeCell ref="G3:G4"/>
    <mergeCell ref="H3:H4"/>
    <mergeCell ref="B2:L2"/>
    <mergeCell ref="N2:T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3DF0-2931-41AA-9C3D-578CB4E01A68}">
  <dimension ref="A1:U19"/>
  <sheetViews>
    <sheetView tabSelected="1" workbookViewId="0">
      <selection activeCell="F35" sqref="F35"/>
    </sheetView>
  </sheetViews>
  <sheetFormatPr defaultRowHeight="16.5"/>
  <sheetData>
    <row r="1" spans="1:21">
      <c r="A1" s="56" t="s">
        <v>69</v>
      </c>
      <c r="B1" s="56" t="s">
        <v>70</v>
      </c>
      <c r="C1" s="56" t="s">
        <v>71</v>
      </c>
      <c r="D1" s="56" t="s">
        <v>72</v>
      </c>
      <c r="E1" s="56" t="s">
        <v>73</v>
      </c>
      <c r="F1" s="56" t="s">
        <v>74</v>
      </c>
      <c r="G1" s="56" t="s">
        <v>75</v>
      </c>
      <c r="H1" s="56" t="s">
        <v>76</v>
      </c>
      <c r="I1" s="56" t="s">
        <v>77</v>
      </c>
      <c r="J1" s="56" t="s">
        <v>78</v>
      </c>
      <c r="K1" s="56" t="s">
        <v>79</v>
      </c>
      <c r="L1" s="56" t="s">
        <v>80</v>
      </c>
      <c r="M1" s="56" t="s">
        <v>81</v>
      </c>
      <c r="N1" s="56" t="s">
        <v>82</v>
      </c>
      <c r="O1" s="56" t="s">
        <v>83</v>
      </c>
      <c r="P1" s="56" t="s">
        <v>84</v>
      </c>
      <c r="Q1" s="56" t="s">
        <v>85</v>
      </c>
      <c r="R1" s="56" t="s">
        <v>86</v>
      </c>
      <c r="S1" s="56" t="s">
        <v>87</v>
      </c>
      <c r="T1" s="56" t="s">
        <v>88</v>
      </c>
      <c r="U1" s="56" t="s">
        <v>89</v>
      </c>
    </row>
    <row r="2" spans="1:21">
      <c r="A2" s="56" t="s">
        <v>90</v>
      </c>
      <c r="B2" s="57">
        <v>0.4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1">
      <c r="A3" s="56" t="s">
        <v>91</v>
      </c>
      <c r="B3" s="57">
        <v>0.7</v>
      </c>
      <c r="C3" s="57">
        <v>0.4</v>
      </c>
      <c r="D3" s="57">
        <v>0.2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>
      <c r="A4" s="56" t="s">
        <v>92</v>
      </c>
      <c r="B4" s="57">
        <v>0.7</v>
      </c>
      <c r="C4" s="57">
        <v>0.4</v>
      </c>
      <c r="D4" s="57">
        <v>0.2</v>
      </c>
      <c r="E4" s="57">
        <v>0.2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spans="1:21">
      <c r="A5" s="56" t="s">
        <v>93</v>
      </c>
      <c r="B5" s="57">
        <v>0.7</v>
      </c>
      <c r="C5" s="57">
        <v>0.4</v>
      </c>
      <c r="D5" s="57">
        <v>0.4</v>
      </c>
      <c r="E5" s="57">
        <v>0.2</v>
      </c>
      <c r="F5" s="57">
        <v>0.2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spans="1:21">
      <c r="A6" s="56" t="s">
        <v>94</v>
      </c>
      <c r="B6" s="57">
        <v>0.7</v>
      </c>
      <c r="C6" s="57">
        <v>0.7</v>
      </c>
      <c r="D6" s="57">
        <v>0.4</v>
      </c>
      <c r="E6" s="57">
        <v>0.4</v>
      </c>
      <c r="F6" s="57">
        <v>0.2</v>
      </c>
      <c r="G6" s="57">
        <v>0.2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</row>
    <row r="7" spans="1:21">
      <c r="A7" s="56" t="s">
        <v>95</v>
      </c>
      <c r="B7" s="57">
        <v>0.7</v>
      </c>
      <c r="C7" s="57">
        <v>0.7</v>
      </c>
      <c r="D7" s="57">
        <v>0.4</v>
      </c>
      <c r="E7" s="57">
        <v>0.4</v>
      </c>
      <c r="F7" s="57">
        <v>0.2</v>
      </c>
      <c r="G7" s="57">
        <v>0.2</v>
      </c>
      <c r="H7" s="57">
        <v>0.2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spans="1:21">
      <c r="A8" s="56" t="s">
        <v>96</v>
      </c>
      <c r="B8" s="57">
        <v>0.7</v>
      </c>
      <c r="C8" s="57">
        <v>0.7</v>
      </c>
      <c r="D8" s="57">
        <v>0.4</v>
      </c>
      <c r="E8" s="57">
        <v>0.4</v>
      </c>
      <c r="F8" s="57">
        <v>0.4</v>
      </c>
      <c r="G8" s="57">
        <v>0.2</v>
      </c>
      <c r="H8" s="57">
        <v>0.2</v>
      </c>
      <c r="I8" s="57">
        <v>0.2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spans="1:21">
      <c r="A9" s="56" t="s">
        <v>97</v>
      </c>
      <c r="B9" s="57">
        <v>0.7</v>
      </c>
      <c r="C9" s="57">
        <v>0.7</v>
      </c>
      <c r="D9" s="57">
        <v>0.4</v>
      </c>
      <c r="E9" s="57">
        <v>0.4</v>
      </c>
      <c r="F9" s="57">
        <v>0.4</v>
      </c>
      <c r="G9" s="57">
        <v>0.2</v>
      </c>
      <c r="H9" s="57">
        <v>0.2</v>
      </c>
      <c r="I9" s="57">
        <v>0.2</v>
      </c>
      <c r="J9" s="57">
        <v>0.2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</row>
    <row r="10" spans="1:21">
      <c r="A10" s="56" t="s">
        <v>98</v>
      </c>
      <c r="B10" s="57">
        <v>0.7</v>
      </c>
      <c r="C10" s="57">
        <v>0.7</v>
      </c>
      <c r="D10" s="57">
        <v>0.4</v>
      </c>
      <c r="E10" s="57">
        <v>0.4</v>
      </c>
      <c r="F10" s="57">
        <v>0.4</v>
      </c>
      <c r="G10" s="57">
        <v>0.4</v>
      </c>
      <c r="H10" s="57">
        <v>0.2</v>
      </c>
      <c r="I10" s="57">
        <v>0.2</v>
      </c>
      <c r="J10" s="57">
        <v>0.2</v>
      </c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spans="1:21">
      <c r="A11" s="56" t="s">
        <v>99</v>
      </c>
      <c r="B11" s="57">
        <v>0.7</v>
      </c>
      <c r="C11" s="57">
        <v>0.7</v>
      </c>
      <c r="D11" s="57">
        <v>0.7</v>
      </c>
      <c r="E11" s="57">
        <v>0.4</v>
      </c>
      <c r="F11" s="57">
        <v>0.4</v>
      </c>
      <c r="G11" s="57">
        <v>0.4</v>
      </c>
      <c r="H11" s="57">
        <v>0.2</v>
      </c>
      <c r="I11" s="57">
        <v>0.2</v>
      </c>
      <c r="J11" s="57">
        <v>0.2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spans="1:21">
      <c r="A12" s="56" t="s">
        <v>100</v>
      </c>
      <c r="B12" s="57">
        <v>0.7</v>
      </c>
      <c r="C12" s="57">
        <v>0.7</v>
      </c>
      <c r="D12" s="57">
        <v>0.7</v>
      </c>
      <c r="E12" s="57">
        <v>0.4</v>
      </c>
      <c r="F12" s="57">
        <v>0.4</v>
      </c>
      <c r="G12" s="57">
        <v>0.4</v>
      </c>
      <c r="H12" s="57">
        <v>0.2</v>
      </c>
      <c r="I12" s="57">
        <v>0.2</v>
      </c>
      <c r="J12" s="57">
        <v>0.2</v>
      </c>
      <c r="K12" s="57">
        <v>0.2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spans="1:21">
      <c r="A13" s="56" t="s">
        <v>101</v>
      </c>
      <c r="B13" s="57">
        <v>0.7</v>
      </c>
      <c r="C13" s="57">
        <v>0.7</v>
      </c>
      <c r="D13" s="57">
        <v>0.7</v>
      </c>
      <c r="E13" s="57">
        <v>0.4</v>
      </c>
      <c r="F13" s="57">
        <v>0.4</v>
      </c>
      <c r="G13" s="57">
        <v>0.4</v>
      </c>
      <c r="H13" s="57">
        <v>0.4</v>
      </c>
      <c r="I13" s="57">
        <v>0.2</v>
      </c>
      <c r="J13" s="57">
        <v>0.2</v>
      </c>
      <c r="K13" s="57">
        <v>0.2</v>
      </c>
      <c r="L13" s="57">
        <v>0.2</v>
      </c>
      <c r="M13" s="58"/>
      <c r="N13" s="58"/>
      <c r="O13" s="58"/>
      <c r="P13" s="58"/>
      <c r="Q13" s="58"/>
      <c r="R13" s="58"/>
      <c r="S13" s="58"/>
      <c r="T13" s="58"/>
      <c r="U13" s="58"/>
    </row>
    <row r="14" spans="1:21">
      <c r="A14" s="56" t="s">
        <v>102</v>
      </c>
      <c r="B14" s="57">
        <v>0.7</v>
      </c>
      <c r="C14" s="57">
        <v>0.7</v>
      </c>
      <c r="D14" s="57">
        <v>0.7</v>
      </c>
      <c r="E14" s="57">
        <v>0.7</v>
      </c>
      <c r="F14" s="57">
        <v>0.4</v>
      </c>
      <c r="G14" s="57">
        <v>0.4</v>
      </c>
      <c r="H14" s="57">
        <v>0.4</v>
      </c>
      <c r="I14" s="57">
        <v>0.4</v>
      </c>
      <c r="J14" s="57">
        <v>0.2</v>
      </c>
      <c r="K14" s="57">
        <v>0.2</v>
      </c>
      <c r="L14" s="57">
        <v>0.2</v>
      </c>
      <c r="M14" s="57">
        <v>0.2</v>
      </c>
      <c r="N14" s="58"/>
      <c r="O14" s="58"/>
      <c r="P14" s="58"/>
      <c r="Q14" s="58"/>
      <c r="R14" s="58"/>
      <c r="S14" s="58"/>
      <c r="T14" s="58"/>
      <c r="U14" s="58"/>
    </row>
    <row r="15" spans="1:21">
      <c r="A15" s="56" t="s">
        <v>103</v>
      </c>
      <c r="B15" s="57">
        <v>0.7</v>
      </c>
      <c r="C15" s="57">
        <v>0.7</v>
      </c>
      <c r="D15" s="57">
        <v>0.7</v>
      </c>
      <c r="E15" s="57">
        <v>0.7</v>
      </c>
      <c r="F15" s="57">
        <v>0.4</v>
      </c>
      <c r="G15" s="57">
        <v>0.4</v>
      </c>
      <c r="H15" s="57">
        <v>0.4</v>
      </c>
      <c r="I15" s="57">
        <v>0.4</v>
      </c>
      <c r="J15" s="57">
        <v>0.2</v>
      </c>
      <c r="K15" s="57">
        <v>0.2</v>
      </c>
      <c r="L15" s="57">
        <v>0.2</v>
      </c>
      <c r="M15" s="57">
        <v>0.2</v>
      </c>
      <c r="N15" s="57">
        <v>0.2</v>
      </c>
      <c r="O15" s="58"/>
      <c r="P15" s="58"/>
      <c r="Q15" s="58"/>
      <c r="R15" s="58"/>
      <c r="S15" s="58"/>
      <c r="T15" s="58"/>
      <c r="U15" s="58"/>
    </row>
    <row r="16" spans="1:21">
      <c r="A16" s="56" t="s">
        <v>104</v>
      </c>
      <c r="B16" s="57">
        <v>0.7</v>
      </c>
      <c r="C16" s="57">
        <v>0.7</v>
      </c>
      <c r="D16" s="57">
        <v>0.7</v>
      </c>
      <c r="E16" s="57">
        <v>0.7</v>
      </c>
      <c r="F16" s="57">
        <v>0.4</v>
      </c>
      <c r="G16" s="57">
        <v>0.4</v>
      </c>
      <c r="H16" s="57">
        <v>0.4</v>
      </c>
      <c r="I16" s="57">
        <v>0.4</v>
      </c>
      <c r="J16" s="57">
        <v>0.4</v>
      </c>
      <c r="K16" s="57">
        <v>0.2</v>
      </c>
      <c r="L16" s="57">
        <v>0.2</v>
      </c>
      <c r="M16" s="57">
        <v>0.2</v>
      </c>
      <c r="N16" s="57">
        <v>0.2</v>
      </c>
      <c r="O16" s="57">
        <v>0.2</v>
      </c>
      <c r="P16" s="58"/>
      <c r="Q16" s="58"/>
      <c r="R16" s="58"/>
      <c r="S16" s="58"/>
      <c r="T16" s="58"/>
      <c r="U16" s="58"/>
    </row>
    <row r="17" spans="1:21">
      <c r="A17" s="56" t="s">
        <v>105</v>
      </c>
      <c r="B17" s="57">
        <v>0.7</v>
      </c>
      <c r="C17" s="57">
        <v>0.7</v>
      </c>
      <c r="D17" s="57">
        <v>0.7</v>
      </c>
      <c r="E17" s="57">
        <v>0.7</v>
      </c>
      <c r="F17" s="57">
        <v>0.4</v>
      </c>
      <c r="G17" s="57">
        <v>0.4</v>
      </c>
      <c r="H17" s="57">
        <v>0.4</v>
      </c>
      <c r="I17" s="57">
        <v>0.4</v>
      </c>
      <c r="J17" s="57">
        <v>0.4</v>
      </c>
      <c r="K17" s="57">
        <v>0.4</v>
      </c>
      <c r="L17" s="57">
        <v>0.2</v>
      </c>
      <c r="M17" s="57">
        <v>0.2</v>
      </c>
      <c r="N17" s="57">
        <v>0.2</v>
      </c>
      <c r="O17" s="57">
        <v>0.2</v>
      </c>
      <c r="P17" s="57">
        <v>0.2</v>
      </c>
      <c r="Q17" s="58"/>
      <c r="R17" s="58"/>
      <c r="S17" s="58"/>
      <c r="T17" s="58"/>
      <c r="U17" s="58"/>
    </row>
    <row r="18" spans="1:21">
      <c r="A18" s="56" t="s">
        <v>106</v>
      </c>
      <c r="B18" s="57">
        <v>0.7</v>
      </c>
      <c r="C18" s="57">
        <v>0.7</v>
      </c>
      <c r="D18" s="57">
        <v>0.7</v>
      </c>
      <c r="E18" s="57">
        <v>0.7</v>
      </c>
      <c r="F18" s="57">
        <v>0.7</v>
      </c>
      <c r="G18" s="57">
        <v>0.4</v>
      </c>
      <c r="H18" s="57">
        <v>0.4</v>
      </c>
      <c r="I18" s="57">
        <v>0.4</v>
      </c>
      <c r="J18" s="57">
        <v>0.4</v>
      </c>
      <c r="K18" s="57">
        <v>0.4</v>
      </c>
      <c r="L18" s="57">
        <v>0.2</v>
      </c>
      <c r="M18" s="57">
        <v>0.2</v>
      </c>
      <c r="N18" s="57">
        <v>0.2</v>
      </c>
      <c r="O18" s="57">
        <v>0.2</v>
      </c>
      <c r="P18" s="57">
        <v>0.2</v>
      </c>
      <c r="Q18" s="57">
        <v>0.2</v>
      </c>
      <c r="R18" s="58"/>
      <c r="S18" s="58"/>
      <c r="T18" s="58"/>
      <c r="U18" s="58"/>
    </row>
    <row r="19" spans="1:21">
      <c r="A19" s="56" t="s">
        <v>107</v>
      </c>
      <c r="B19" s="57">
        <v>0.7</v>
      </c>
      <c r="C19" s="57">
        <v>0.7</v>
      </c>
      <c r="D19" s="57">
        <v>0.7</v>
      </c>
      <c r="E19" s="57">
        <v>0.7</v>
      </c>
      <c r="F19" s="57">
        <v>0.7</v>
      </c>
      <c r="G19" s="57">
        <v>0.4</v>
      </c>
      <c r="H19" s="57">
        <v>0.4</v>
      </c>
      <c r="I19" s="57">
        <v>0.4</v>
      </c>
      <c r="J19" s="57">
        <v>0.4</v>
      </c>
      <c r="K19" s="57">
        <v>0.4</v>
      </c>
      <c r="L19" s="57">
        <v>0.2</v>
      </c>
      <c r="M19" s="57">
        <v>0.2</v>
      </c>
      <c r="N19" s="57">
        <v>0.2</v>
      </c>
      <c r="O19" s="57">
        <v>0.2</v>
      </c>
      <c r="P19" s="57">
        <v>0.2</v>
      </c>
      <c r="Q19" s="57">
        <v>0.2</v>
      </c>
      <c r="R19" s="58"/>
      <c r="S19" s="58"/>
      <c r="T19" s="58"/>
      <c r="U19" s="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77A1DC07B1644ABD8D093D4CB519B7" ma:contentTypeVersion="13" ma:contentTypeDescription="Create a new document." ma:contentTypeScope="" ma:versionID="f94a806f35fcf4d855ac8899d0215494">
  <xsd:schema xmlns:xsd="http://www.w3.org/2001/XMLSchema" xmlns:xs="http://www.w3.org/2001/XMLSchema" xmlns:p="http://schemas.microsoft.com/office/2006/metadata/properties" xmlns:ns2="8621bdc5-8f17-48fb-9113-26107f4a620a" xmlns:ns3="1ab0bded-adeb-4edd-b948-20c969772ced" targetNamespace="http://schemas.microsoft.com/office/2006/metadata/properties" ma:root="true" ma:fieldsID="238f2f2bef725763045a4f6dd1d53b30" ns2:_="" ns3:_="">
    <xsd:import namespace="8621bdc5-8f17-48fb-9113-26107f4a620a"/>
    <xsd:import namespace="1ab0bded-adeb-4edd-b948-20c969772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1bdc5-8f17-48fb-9113-26107f4a6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c6bc6b4-bb22-49f9-8d8b-4dbb4a5bc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0bded-adeb-4edd-b948-20c969772ce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765da37-ddaf-4560-926a-ef6ab87d9712}" ma:internalName="TaxCatchAll" ma:showField="CatchAllData" ma:web="1ab0bded-adeb-4edd-b948-20c969772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21bdc5-8f17-48fb-9113-26107f4a620a">
      <Terms xmlns="http://schemas.microsoft.com/office/infopath/2007/PartnerControls"/>
    </lcf76f155ced4ddcb4097134ff3c332f>
    <TaxCatchAll xmlns="1ab0bded-adeb-4edd-b948-20c969772ced" xsi:nil="true"/>
  </documentManagement>
</p:properties>
</file>

<file path=customXml/itemProps1.xml><?xml version="1.0" encoding="utf-8"?>
<ds:datastoreItem xmlns:ds="http://schemas.openxmlformats.org/officeDocument/2006/customXml" ds:itemID="{47DB6CA7-8904-4F83-B573-9E6C6F61DA7C}"/>
</file>

<file path=customXml/itemProps2.xml><?xml version="1.0" encoding="utf-8"?>
<ds:datastoreItem xmlns:ds="http://schemas.openxmlformats.org/officeDocument/2006/customXml" ds:itemID="{C6E18F87-735B-41D9-9F21-7DF61FC1DC2D}"/>
</file>

<file path=customXml/itemProps3.xml><?xml version="1.0" encoding="utf-8"?>
<ds:datastoreItem xmlns:ds="http://schemas.openxmlformats.org/officeDocument/2006/customXml" ds:itemID="{3A6A6E75-82D6-4E07-ABC9-F467D2D56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최민철</dc:creator>
  <cp:keywords/>
  <dc:description/>
  <cp:lastModifiedBy/>
  <cp:revision/>
  <dcterms:created xsi:type="dcterms:W3CDTF">2024-08-05T09:46:50Z</dcterms:created>
  <dcterms:modified xsi:type="dcterms:W3CDTF">2026-04-15T05:44:11Z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0x0101002277A1DC07B1644ABD8D093D4CB519B7</vt:lpwstr>
  </property>
  <property fmtid="{D5CDD505-2E9C-101B-9397-08002B2CF9AE}" pid="3" name="MediaServiceImageTags">
    <vt:lpwstr/>
  </property>
</Properties>
</file>